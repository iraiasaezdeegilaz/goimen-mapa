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Y:\NEKAZARITZA GIS\Goimen mapa\data\"/>
    </mc:Choice>
  </mc:AlternateContent>
  <xr:revisionPtr revIDLastSave="0" documentId="13_ncr:1_{BC7CEFF3-14ED-4CE8-8F09-DFFB0AD3DFC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koizleak" sheetId="1" r:id="rId1"/>
    <sheet name="Salmenta puntuak" sheetId="2" r:id="rId2"/>
    <sheet name="Azokak" sheetId="3" r:id="rId3"/>
    <sheet name="Zerbitzuak" sheetId="4" r:id="rId4"/>
    <sheet name="Kirol frogak" sheetId="5" r:id="rId5"/>
  </sheets>
  <definedNames>
    <definedName name="_xlnm._FilterDatabase" localSheetId="2" hidden="1">Azokak!$A$1:$L$1</definedName>
    <definedName name="_xlnm._FilterDatabase" localSheetId="0" hidden="1">Ekoizleak!$A$3:$CY$435</definedName>
    <definedName name="_xlnm._FilterDatabase" localSheetId="4" hidden="1">'Kirol frogak'!$B$1:$J$1</definedName>
    <definedName name="_xlnm._FilterDatabase" localSheetId="1" hidden="1">'Salmenta puntuak'!$A$1:$O$1</definedName>
    <definedName name="_xlnm._FilterDatabase" localSheetId="3" hidden="1">Zerbitzuak!$A$1:$O$1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09" i="1" l="1" a="1"/>
  <c r="V409" i="1" s="1"/>
  <c r="U409" i="1" a="1"/>
  <c r="U409" i="1" s="1"/>
  <c r="V30" i="1" a="1"/>
  <c r="V30" i="1" s="1"/>
  <c r="V37" i="1" a="1"/>
  <c r="V37" i="1" s="1"/>
  <c r="V44" i="1" a="1"/>
  <c r="V44" i="1" s="1"/>
  <c r="U30" i="1" a="1"/>
  <c r="U30" i="1" s="1"/>
  <c r="U37" i="1" a="1"/>
  <c r="U37" i="1" s="1"/>
  <c r="U44" i="1" a="1"/>
  <c r="U44" i="1" s="1"/>
  <c r="V68" i="1" a="1"/>
  <c r="V68" i="1" s="1"/>
  <c r="V100" i="1" a="1"/>
  <c r="V100" i="1" s="1"/>
  <c r="V106" i="1" a="1"/>
  <c r="V106" i="1" s="1"/>
  <c r="U68" i="1" a="1"/>
  <c r="U68" i="1" s="1"/>
  <c r="U100" i="1" a="1"/>
  <c r="U100" i="1" s="1"/>
  <c r="U106" i="1" a="1"/>
  <c r="U106" i="1" s="1"/>
  <c r="V431" i="1" a="1"/>
  <c r="V431" i="1" s="1"/>
  <c r="V432" i="1" a="1"/>
  <c r="V432" i="1" s="1"/>
  <c r="V433" i="1" a="1"/>
  <c r="V433" i="1" s="1"/>
  <c r="V434" i="1" a="1"/>
  <c r="V434" i="1" s="1"/>
  <c r="V435" i="1" a="1"/>
  <c r="V435" i="1" s="1"/>
  <c r="U431" i="1" a="1"/>
  <c r="U431" i="1" s="1"/>
  <c r="U432" i="1" a="1"/>
  <c r="U432" i="1" s="1"/>
  <c r="U433" i="1" a="1"/>
  <c r="U433" i="1" s="1"/>
  <c r="U434" i="1" a="1"/>
  <c r="U434" i="1" s="1"/>
  <c r="U435" i="1" a="1"/>
  <c r="U435" i="1" s="1"/>
  <c r="X429" i="1" a="1"/>
  <c r="X429" i="1" s="1"/>
  <c r="X12" i="1" a="1"/>
  <c r="X12" i="1" s="1"/>
  <c r="X430" i="1" a="1"/>
  <c r="X430" i="1" s="1"/>
  <c r="V429" i="1" a="1"/>
  <c r="V429" i="1" s="1"/>
  <c r="V12" i="1" a="1"/>
  <c r="V12" i="1" s="1"/>
  <c r="V430" i="1" a="1"/>
  <c r="V430" i="1" s="1"/>
  <c r="W210" i="1" a="1"/>
  <c r="W210" i="1" s="1"/>
  <c r="W7" i="1" a="1"/>
  <c r="W7" i="1" s="1"/>
  <c r="W211" i="1" a="1"/>
  <c r="W211" i="1" s="1"/>
  <c r="W212" i="1" a="1"/>
  <c r="W212" i="1" s="1"/>
  <c r="W213" i="1" a="1"/>
  <c r="W213" i="1" s="1"/>
  <c r="W214" i="1" a="1"/>
  <c r="W214" i="1" s="1"/>
  <c r="W215" i="1" a="1"/>
  <c r="W215" i="1" s="1"/>
  <c r="W216" i="1" a="1"/>
  <c r="W216" i="1" s="1"/>
  <c r="W217" i="1" a="1"/>
  <c r="W217" i="1" s="1"/>
  <c r="W218" i="1" a="1"/>
  <c r="W218" i="1" s="1"/>
  <c r="W219" i="1" a="1"/>
  <c r="W219" i="1" s="1"/>
  <c r="W9" i="1" a="1"/>
  <c r="W9" i="1" s="1"/>
  <c r="W220" i="1" a="1"/>
  <c r="W220" i="1" s="1"/>
  <c r="W221" i="1" a="1"/>
  <c r="W221" i="1" s="1"/>
  <c r="W222" i="1" a="1"/>
  <c r="W222" i="1" s="1"/>
  <c r="W223" i="1" a="1"/>
  <c r="W223" i="1" s="1"/>
  <c r="W224" i="1" a="1"/>
  <c r="W224" i="1" s="1"/>
  <c r="W225" i="1" a="1"/>
  <c r="W225" i="1" s="1"/>
  <c r="W226" i="1" a="1"/>
  <c r="W226" i="1" s="1"/>
  <c r="W227" i="1" a="1"/>
  <c r="W227" i="1" s="1"/>
  <c r="W228" i="1" a="1"/>
  <c r="W228" i="1" s="1"/>
  <c r="W229" i="1" a="1"/>
  <c r="W229" i="1" s="1"/>
  <c r="W71" i="1" a="1"/>
  <c r="W71" i="1" s="1"/>
  <c r="W34" i="1" a="1"/>
  <c r="W34" i="1" s="1"/>
  <c r="W230" i="1" a="1"/>
  <c r="W230" i="1" s="1"/>
  <c r="W231" i="1" a="1"/>
  <c r="W231" i="1" s="1"/>
  <c r="W59" i="1" a="1"/>
  <c r="W59" i="1" s="1"/>
  <c r="W232" i="1" a="1"/>
  <c r="W232" i="1" s="1"/>
  <c r="W233" i="1" a="1"/>
  <c r="W233" i="1" s="1"/>
  <c r="W234" i="1" a="1"/>
  <c r="W234" i="1" s="1"/>
  <c r="W84" i="1" a="1"/>
  <c r="W84" i="1" s="1"/>
  <c r="W61" i="1" a="1"/>
  <c r="W61" i="1" s="1"/>
  <c r="W62" i="1" a="1"/>
  <c r="W62" i="1" s="1"/>
  <c r="W235" i="1" a="1"/>
  <c r="W235" i="1" s="1"/>
  <c r="W56" i="1" a="1"/>
  <c r="W56" i="1" s="1"/>
  <c r="W236" i="1" a="1"/>
  <c r="W236" i="1" s="1"/>
  <c r="W237" i="1" a="1"/>
  <c r="W237" i="1" s="1"/>
  <c r="W238" i="1" a="1"/>
  <c r="W238" i="1" s="1"/>
  <c r="W239" i="1" a="1"/>
  <c r="W239" i="1" s="1"/>
  <c r="W240" i="1" a="1"/>
  <c r="W240" i="1" s="1"/>
  <c r="W241" i="1" a="1"/>
  <c r="W241" i="1" s="1"/>
  <c r="W242" i="1" a="1"/>
  <c r="W242" i="1" s="1"/>
  <c r="W40" i="1" a="1"/>
  <c r="W40" i="1" s="1"/>
  <c r="W243" i="1" a="1"/>
  <c r="W243" i="1" s="1"/>
  <c r="W244" i="1" a="1"/>
  <c r="W244" i="1" s="1"/>
  <c r="W245" i="1" a="1"/>
  <c r="W245" i="1" s="1"/>
  <c r="W43" i="1" a="1"/>
  <c r="W43" i="1" s="1"/>
  <c r="W67" i="1" a="1"/>
  <c r="W67" i="1" s="1"/>
  <c r="W246" i="1" a="1"/>
  <c r="W246" i="1" s="1"/>
  <c r="W247" i="1" a="1"/>
  <c r="W247" i="1" s="1"/>
  <c r="W248" i="1" a="1"/>
  <c r="W248" i="1" s="1"/>
  <c r="W101" i="1" a="1"/>
  <c r="W101" i="1" s="1"/>
  <c r="W249" i="1" a="1"/>
  <c r="W249" i="1" s="1"/>
  <c r="W250" i="1" a="1"/>
  <c r="W250" i="1" s="1"/>
  <c r="W251" i="1" a="1"/>
  <c r="W251" i="1" s="1"/>
  <c r="W32" i="1" a="1"/>
  <c r="W32" i="1" s="1"/>
  <c r="W252" i="1" a="1"/>
  <c r="W252" i="1" s="1"/>
  <c r="W253" i="1" a="1"/>
  <c r="W253" i="1" s="1"/>
  <c r="W87" i="1" a="1"/>
  <c r="W87" i="1" s="1"/>
  <c r="W254" i="1" a="1"/>
  <c r="W254" i="1" s="1"/>
  <c r="W255" i="1" a="1"/>
  <c r="W255" i="1" s="1"/>
  <c r="W256" i="1" a="1"/>
  <c r="W256" i="1" s="1"/>
  <c r="W257" i="1" a="1"/>
  <c r="W257" i="1" s="1"/>
  <c r="W258" i="1" a="1"/>
  <c r="W258" i="1" s="1"/>
  <c r="W49" i="1" a="1"/>
  <c r="W49" i="1" s="1"/>
  <c r="W63" i="1" a="1"/>
  <c r="W63" i="1" s="1"/>
  <c r="W88" i="1" a="1"/>
  <c r="W88" i="1" s="1"/>
  <c r="W259" i="1" a="1"/>
  <c r="W259" i="1" s="1"/>
  <c r="W260" i="1" a="1"/>
  <c r="W260" i="1" s="1"/>
  <c r="W261" i="1" a="1"/>
  <c r="W261" i="1" s="1"/>
  <c r="W262" i="1" a="1"/>
  <c r="W262" i="1" s="1"/>
  <c r="W263" i="1" a="1"/>
  <c r="W263" i="1" s="1"/>
  <c r="W264" i="1" a="1"/>
  <c r="W264" i="1" s="1"/>
  <c r="W265" i="1" a="1"/>
  <c r="W265" i="1" s="1"/>
  <c r="W266" i="1" a="1"/>
  <c r="W266" i="1" s="1"/>
  <c r="W267" i="1" a="1"/>
  <c r="W267" i="1" s="1"/>
  <c r="W268" i="1" a="1"/>
  <c r="W268" i="1" s="1"/>
  <c r="W269" i="1" a="1"/>
  <c r="W269" i="1" s="1"/>
  <c r="W270" i="1" a="1"/>
  <c r="W270" i="1" s="1"/>
  <c r="W271" i="1" a="1"/>
  <c r="W271" i="1" s="1"/>
  <c r="W272" i="1" a="1"/>
  <c r="W272" i="1" s="1"/>
  <c r="W273" i="1" a="1"/>
  <c r="W273" i="1" s="1"/>
  <c r="W274" i="1" a="1"/>
  <c r="W274" i="1" s="1"/>
  <c r="W275" i="1" a="1"/>
  <c r="W275" i="1" s="1"/>
  <c r="W276" i="1" a="1"/>
  <c r="W276" i="1" s="1"/>
  <c r="W277" i="1" a="1"/>
  <c r="W277" i="1" s="1"/>
  <c r="W278" i="1" a="1"/>
  <c r="W278" i="1" s="1"/>
  <c r="W279" i="1" a="1"/>
  <c r="W279" i="1" s="1"/>
  <c r="W94" i="1" a="1"/>
  <c r="W94" i="1" s="1"/>
  <c r="W280" i="1" a="1"/>
  <c r="W280" i="1" s="1"/>
  <c r="W281" i="1" a="1"/>
  <c r="W281" i="1" s="1"/>
  <c r="W282" i="1" a="1"/>
  <c r="W282" i="1" s="1"/>
  <c r="W283" i="1" a="1"/>
  <c r="W283" i="1" s="1"/>
  <c r="W284" i="1" a="1"/>
  <c r="W284" i="1" s="1"/>
  <c r="W285" i="1" a="1"/>
  <c r="W285" i="1" s="1"/>
  <c r="W286" i="1" a="1"/>
  <c r="W286" i="1" s="1"/>
  <c r="W107" i="1" a="1"/>
  <c r="W107" i="1" s="1"/>
  <c r="W287" i="1" a="1"/>
  <c r="W287" i="1" s="1"/>
  <c r="W55" i="1" a="1"/>
  <c r="W55" i="1" s="1"/>
  <c r="W11" i="1" a="1"/>
  <c r="W11" i="1" s="1"/>
  <c r="W13" i="1" a="1"/>
  <c r="W13" i="1" s="1"/>
  <c r="W288" i="1" a="1"/>
  <c r="W288" i="1" s="1"/>
  <c r="W24" i="1" a="1"/>
  <c r="W24" i="1" s="1"/>
  <c r="W289" i="1" a="1"/>
  <c r="W289" i="1" s="1"/>
  <c r="W8" i="1" a="1"/>
  <c r="W8" i="1" s="1"/>
  <c r="W103" i="1" a="1"/>
  <c r="W103" i="1" s="1"/>
  <c r="W290" i="1" a="1"/>
  <c r="W290" i="1" s="1"/>
  <c r="W35" i="1" a="1"/>
  <c r="W35" i="1" s="1"/>
  <c r="W291" i="1" a="1"/>
  <c r="W291" i="1" s="1"/>
  <c r="W292" i="1" a="1"/>
  <c r="W292" i="1" s="1"/>
  <c r="W293" i="1" a="1"/>
  <c r="W293" i="1" s="1"/>
  <c r="W294" i="1" a="1"/>
  <c r="W294" i="1" s="1"/>
  <c r="W295" i="1" a="1"/>
  <c r="W295" i="1" s="1"/>
  <c r="W296" i="1" a="1"/>
  <c r="W296" i="1" s="1"/>
  <c r="W297" i="1" a="1"/>
  <c r="W297" i="1" s="1"/>
  <c r="W298" i="1" a="1"/>
  <c r="W298" i="1" s="1"/>
  <c r="W299" i="1" a="1"/>
  <c r="W299" i="1" s="1"/>
  <c r="W300" i="1" a="1"/>
  <c r="W300" i="1" s="1"/>
  <c r="W301" i="1" a="1"/>
  <c r="W301" i="1" s="1"/>
  <c r="W302" i="1" a="1"/>
  <c r="W302" i="1" s="1"/>
  <c r="W303" i="1" a="1"/>
  <c r="W303" i="1" s="1"/>
  <c r="W304" i="1" a="1"/>
  <c r="W304" i="1" s="1"/>
  <c r="W305" i="1" a="1"/>
  <c r="W305" i="1" s="1"/>
  <c r="W306" i="1" a="1"/>
  <c r="W306" i="1" s="1"/>
  <c r="W57" i="1" a="1"/>
  <c r="W57" i="1" s="1"/>
  <c r="W307" i="1" a="1"/>
  <c r="W307" i="1" s="1"/>
  <c r="W95" i="1" a="1"/>
  <c r="W95" i="1" s="1"/>
  <c r="W308" i="1" a="1"/>
  <c r="W308" i="1" s="1"/>
  <c r="W78" i="1" a="1"/>
  <c r="W78" i="1" s="1"/>
  <c r="W20" i="1" a="1"/>
  <c r="W20" i="1" s="1"/>
  <c r="W6" i="1" a="1"/>
  <c r="W6" i="1" s="1"/>
  <c r="W96" i="1" a="1"/>
  <c r="W96" i="1" s="1"/>
  <c r="W86" i="1" a="1"/>
  <c r="W86" i="1" s="1"/>
  <c r="W309" i="1" a="1"/>
  <c r="W309" i="1" s="1"/>
  <c r="W310" i="1" a="1"/>
  <c r="W310" i="1" s="1"/>
  <c r="W311" i="1" a="1"/>
  <c r="W311" i="1" s="1"/>
  <c r="W90" i="1" a="1"/>
  <c r="W90" i="1" s="1"/>
  <c r="W312" i="1" a="1"/>
  <c r="W312" i="1" s="1"/>
  <c r="W313" i="1" a="1"/>
  <c r="W313" i="1" s="1"/>
  <c r="W314" i="1" a="1"/>
  <c r="W314" i="1" s="1"/>
  <c r="W315" i="1" a="1"/>
  <c r="W315" i="1" s="1"/>
  <c r="W316" i="1" a="1"/>
  <c r="W316" i="1" s="1"/>
  <c r="W317" i="1" a="1"/>
  <c r="W317" i="1" s="1"/>
  <c r="W318" i="1" a="1"/>
  <c r="W318" i="1" s="1"/>
  <c r="W72" i="1" a="1"/>
  <c r="W72" i="1" s="1"/>
  <c r="W319" i="1" a="1"/>
  <c r="W319" i="1" s="1"/>
  <c r="W25" i="1" a="1"/>
  <c r="W25" i="1" s="1"/>
  <c r="W320" i="1" a="1"/>
  <c r="W320" i="1" s="1"/>
  <c r="W321" i="1" a="1"/>
  <c r="W321" i="1" s="1"/>
  <c r="W322" i="1" a="1"/>
  <c r="W322" i="1" s="1"/>
  <c r="W69" i="1" a="1"/>
  <c r="W69" i="1" s="1"/>
  <c r="W323" i="1" a="1"/>
  <c r="W323" i="1" s="1"/>
  <c r="W324" i="1" a="1"/>
  <c r="W324" i="1" s="1"/>
  <c r="W325" i="1" a="1"/>
  <c r="W325" i="1" s="1"/>
  <c r="W326" i="1" a="1"/>
  <c r="W326" i="1" s="1"/>
  <c r="W327" i="1" a="1"/>
  <c r="W327" i="1" s="1"/>
  <c r="W16" i="1" a="1"/>
  <c r="W16" i="1" s="1"/>
  <c r="W328" i="1" a="1"/>
  <c r="W328" i="1" s="1"/>
  <c r="W17" i="1" a="1"/>
  <c r="W17" i="1" s="1"/>
  <c r="W329" i="1" a="1"/>
  <c r="W329" i="1" s="1"/>
  <c r="W75" i="1" a="1"/>
  <c r="W75" i="1" s="1"/>
  <c r="W18" i="1" a="1"/>
  <c r="W18" i="1" s="1"/>
  <c r="W330" i="1" a="1"/>
  <c r="W330" i="1" s="1"/>
  <c r="W331" i="1" a="1"/>
  <c r="W331" i="1" s="1"/>
  <c r="W332" i="1" a="1"/>
  <c r="W332" i="1" s="1"/>
  <c r="W333" i="1" a="1"/>
  <c r="W333" i="1" s="1"/>
  <c r="W334" i="1" a="1"/>
  <c r="W334" i="1" s="1"/>
  <c r="W335" i="1" a="1"/>
  <c r="W335" i="1" s="1"/>
  <c r="W336" i="1" a="1"/>
  <c r="W336" i="1" s="1"/>
  <c r="W337" i="1" a="1"/>
  <c r="W337" i="1" s="1"/>
  <c r="W338" i="1" a="1"/>
  <c r="W338" i="1" s="1"/>
  <c r="W89" i="1" a="1"/>
  <c r="W89" i="1" s="1"/>
  <c r="W70" i="1" a="1"/>
  <c r="W70" i="1" s="1"/>
  <c r="W339" i="1" a="1"/>
  <c r="W339" i="1" s="1"/>
  <c r="W340" i="1" a="1"/>
  <c r="W340" i="1" s="1"/>
  <c r="W341" i="1" a="1"/>
  <c r="W341" i="1" s="1"/>
  <c r="W342" i="1" a="1"/>
  <c r="W342" i="1" s="1"/>
  <c r="W343" i="1" a="1"/>
  <c r="W343" i="1" s="1"/>
  <c r="W344" i="1" a="1"/>
  <c r="W344" i="1" s="1"/>
  <c r="W345" i="1" a="1"/>
  <c r="W345" i="1" s="1"/>
  <c r="W346" i="1" a="1"/>
  <c r="W346" i="1" s="1"/>
  <c r="W347" i="1" a="1"/>
  <c r="W347" i="1" s="1"/>
  <c r="W348" i="1" a="1"/>
  <c r="W348" i="1" s="1"/>
  <c r="W349" i="1" a="1"/>
  <c r="W349" i="1" s="1"/>
  <c r="W350" i="1" a="1"/>
  <c r="W350" i="1" s="1"/>
  <c r="W351" i="1" a="1"/>
  <c r="W351" i="1" s="1"/>
  <c r="W352" i="1" a="1"/>
  <c r="W352" i="1" s="1"/>
  <c r="W353" i="1" a="1"/>
  <c r="W353" i="1" s="1"/>
  <c r="W354" i="1" a="1"/>
  <c r="W354" i="1" s="1"/>
  <c r="W48" i="1" a="1"/>
  <c r="W48" i="1" s="1"/>
  <c r="W355" i="1" a="1"/>
  <c r="W355" i="1" s="1"/>
  <c r="W356" i="1" a="1"/>
  <c r="W356" i="1" s="1"/>
  <c r="W14" i="1" a="1"/>
  <c r="W14" i="1" s="1"/>
  <c r="W65" i="1" a="1"/>
  <c r="W65" i="1" s="1"/>
  <c r="W357" i="1" a="1"/>
  <c r="W357" i="1" s="1"/>
  <c r="W358" i="1" a="1"/>
  <c r="W358" i="1" s="1"/>
  <c r="W47" i="1" a="1"/>
  <c r="W47" i="1" s="1"/>
  <c r="W359" i="1" a="1"/>
  <c r="W359" i="1" s="1"/>
  <c r="W80" i="1" a="1"/>
  <c r="W80" i="1" s="1"/>
  <c r="W21" i="1" a="1"/>
  <c r="W21" i="1" s="1"/>
  <c r="W85" i="1" a="1"/>
  <c r="W85" i="1" s="1"/>
  <c r="W360" i="1" a="1"/>
  <c r="W360" i="1" s="1"/>
  <c r="W361" i="1" a="1"/>
  <c r="W361" i="1" s="1"/>
  <c r="W362" i="1" a="1"/>
  <c r="W362" i="1" s="1"/>
  <c r="W363" i="1" a="1"/>
  <c r="W363" i="1" s="1"/>
  <c r="W364" i="1" a="1"/>
  <c r="W364" i="1" s="1"/>
  <c r="W365" i="1" a="1"/>
  <c r="W365" i="1" s="1"/>
  <c r="W366" i="1" a="1"/>
  <c r="W366" i="1" s="1"/>
  <c r="W367" i="1" a="1"/>
  <c r="W367" i="1" s="1"/>
  <c r="W368" i="1" a="1"/>
  <c r="W368" i="1" s="1"/>
  <c r="W77" i="1" a="1"/>
  <c r="W77" i="1" s="1"/>
  <c r="W369" i="1" a="1"/>
  <c r="W369" i="1" s="1"/>
  <c r="W60" i="1" a="1"/>
  <c r="W60" i="1" s="1"/>
  <c r="W83" i="1" a="1"/>
  <c r="W83" i="1" s="1"/>
  <c r="W108" i="1" a="1"/>
  <c r="W108" i="1" s="1"/>
  <c r="W370" i="1" a="1"/>
  <c r="W370" i="1" s="1"/>
  <c r="W371" i="1" a="1"/>
  <c r="W371" i="1" s="1"/>
  <c r="W372" i="1" a="1"/>
  <c r="W372" i="1" s="1"/>
  <c r="W373" i="1" a="1"/>
  <c r="W373" i="1" s="1"/>
  <c r="W374" i="1" a="1"/>
  <c r="W374" i="1" s="1"/>
  <c r="W375" i="1" a="1"/>
  <c r="W375" i="1" s="1"/>
  <c r="W376" i="1" a="1"/>
  <c r="W376" i="1" s="1"/>
  <c r="W377" i="1" a="1"/>
  <c r="W377" i="1" s="1"/>
  <c r="W378" i="1" a="1"/>
  <c r="W378" i="1" s="1"/>
  <c r="W379" i="1" a="1"/>
  <c r="W379" i="1" s="1"/>
  <c r="W380" i="1" a="1"/>
  <c r="W380" i="1" s="1"/>
  <c r="W381" i="1" a="1"/>
  <c r="W381" i="1" s="1"/>
  <c r="W51" i="1" a="1"/>
  <c r="W51" i="1" s="1"/>
  <c r="W382" i="1" a="1"/>
  <c r="W382" i="1" s="1"/>
  <c r="W383" i="1" a="1"/>
  <c r="W383" i="1" s="1"/>
  <c r="W105" i="1" a="1"/>
  <c r="W105" i="1" s="1"/>
  <c r="W384" i="1" a="1"/>
  <c r="W384" i="1" s="1"/>
  <c r="W385" i="1" a="1"/>
  <c r="W385" i="1" s="1"/>
  <c r="W386" i="1" a="1"/>
  <c r="W386" i="1" s="1"/>
  <c r="W387" i="1" a="1"/>
  <c r="W387" i="1" s="1"/>
  <c r="W388" i="1" a="1"/>
  <c r="W388" i="1" s="1"/>
  <c r="W389" i="1" a="1"/>
  <c r="W389" i="1" s="1"/>
  <c r="W390" i="1" a="1"/>
  <c r="W390" i="1" s="1"/>
  <c r="W391" i="1" a="1"/>
  <c r="W391" i="1" s="1"/>
  <c r="W392" i="1" a="1"/>
  <c r="W392" i="1" s="1"/>
  <c r="W393" i="1" a="1"/>
  <c r="W393" i="1" s="1"/>
  <c r="W394" i="1" a="1"/>
  <c r="W394" i="1" s="1"/>
  <c r="W395" i="1" a="1"/>
  <c r="W395" i="1" s="1"/>
  <c r="W396" i="1" a="1"/>
  <c r="W396" i="1" s="1"/>
  <c r="W397" i="1" a="1"/>
  <c r="W397" i="1" s="1"/>
  <c r="W398" i="1" a="1"/>
  <c r="W398" i="1" s="1"/>
  <c r="W399" i="1" a="1"/>
  <c r="W399" i="1" s="1"/>
  <c r="W400" i="1" a="1"/>
  <c r="W400" i="1" s="1"/>
  <c r="W401" i="1" a="1"/>
  <c r="W401" i="1" s="1"/>
  <c r="W402" i="1" a="1"/>
  <c r="W402" i="1" s="1"/>
  <c r="W403" i="1" a="1"/>
  <c r="W403" i="1" s="1"/>
  <c r="W404" i="1" a="1"/>
  <c r="W404" i="1" s="1"/>
  <c r="W405" i="1" a="1"/>
  <c r="W405" i="1" s="1"/>
  <c r="W406" i="1" a="1"/>
  <c r="W406" i="1" s="1"/>
  <c r="W407" i="1" a="1"/>
  <c r="W407" i="1" s="1"/>
  <c r="W408" i="1" a="1"/>
  <c r="W408" i="1" s="1"/>
  <c r="W409" i="1" a="1"/>
  <c r="W409" i="1" s="1"/>
  <c r="W58" i="1" a="1"/>
  <c r="W58" i="1" s="1"/>
  <c r="W410" i="1" a="1"/>
  <c r="W410" i="1" s="1"/>
  <c r="W411" i="1" a="1"/>
  <c r="W411" i="1" s="1"/>
  <c r="W412" i="1" a="1"/>
  <c r="W412" i="1" s="1"/>
  <c r="W31" i="1" a="1"/>
  <c r="W31" i="1" s="1"/>
  <c r="W36" i="1" a="1"/>
  <c r="W36" i="1" s="1"/>
  <c r="W19" i="1" a="1"/>
  <c r="W19" i="1" s="1"/>
  <c r="W79" i="1" a="1"/>
  <c r="W79" i="1" s="1"/>
  <c r="W413" i="1" a="1"/>
  <c r="W413" i="1" s="1"/>
  <c r="W38" i="1" a="1"/>
  <c r="W38" i="1" s="1"/>
  <c r="W46" i="1" a="1"/>
  <c r="W46" i="1" s="1"/>
  <c r="W4" i="1" a="1"/>
  <c r="W4" i="1" s="1"/>
  <c r="W414" i="1" a="1"/>
  <c r="W414" i="1" s="1"/>
  <c r="W415" i="1" a="1"/>
  <c r="W415" i="1" s="1"/>
  <c r="W66" i="1" a="1"/>
  <c r="W66" i="1" s="1"/>
  <c r="W50" i="1" a="1"/>
  <c r="W50" i="1" s="1"/>
  <c r="W416" i="1" a="1"/>
  <c r="W416" i="1" s="1"/>
  <c r="W417" i="1" a="1"/>
  <c r="W417" i="1" s="1"/>
  <c r="W54" i="1" a="1"/>
  <c r="W54" i="1" s="1"/>
  <c r="W23" i="1" a="1"/>
  <c r="W23" i="1" s="1"/>
  <c r="W418" i="1" a="1"/>
  <c r="W418" i="1" s="1"/>
  <c r="W419" i="1" a="1"/>
  <c r="W419" i="1" s="1"/>
  <c r="W93" i="1" a="1"/>
  <c r="W93" i="1" s="1"/>
  <c r="W420" i="1" a="1"/>
  <c r="W420" i="1" s="1"/>
  <c r="W104" i="1" a="1"/>
  <c r="W104" i="1" s="1"/>
  <c r="W421" i="1" a="1"/>
  <c r="W421" i="1" s="1"/>
  <c r="W422" i="1" a="1"/>
  <c r="W422" i="1" s="1"/>
  <c r="W423" i="1" a="1"/>
  <c r="W423" i="1" s="1"/>
  <c r="W424" i="1" a="1"/>
  <c r="W424" i="1" s="1"/>
  <c r="W425" i="1" a="1"/>
  <c r="W425" i="1" s="1"/>
  <c r="W10" i="1" a="1"/>
  <c r="W10" i="1" s="1"/>
  <c r="W426" i="1" a="1"/>
  <c r="W426" i="1" s="1"/>
  <c r="W427" i="1" a="1"/>
  <c r="W427" i="1" s="1"/>
  <c r="W428" i="1" a="1"/>
  <c r="W428" i="1" s="1"/>
  <c r="W81" i="1" a="1"/>
  <c r="W81" i="1" s="1"/>
  <c r="W41" i="1" a="1"/>
  <c r="W41" i="1" s="1"/>
  <c r="W39" i="1" a="1"/>
  <c r="W39" i="1" s="1"/>
  <c r="W429" i="1" a="1"/>
  <c r="W429" i="1" s="1"/>
  <c r="W12" i="1" a="1"/>
  <c r="W12" i="1" s="1"/>
  <c r="W430" i="1" a="1"/>
  <c r="W430" i="1" s="1"/>
  <c r="W110" i="1" a="1"/>
  <c r="W110" i="1" s="1"/>
  <c r="W111" i="1" a="1"/>
  <c r="W111" i="1" s="1"/>
  <c r="W112" i="1" a="1"/>
  <c r="W112" i="1" s="1"/>
  <c r="W113" i="1" a="1"/>
  <c r="W113" i="1" s="1"/>
  <c r="W114" i="1" a="1"/>
  <c r="W114" i="1" s="1"/>
  <c r="W98" i="1" a="1"/>
  <c r="W98" i="1" s="1"/>
  <c r="W91" i="1" a="1"/>
  <c r="W91" i="1" s="1"/>
  <c r="W115" i="1" a="1"/>
  <c r="W115" i="1" s="1"/>
  <c r="W28" i="1" a="1"/>
  <c r="W28" i="1" s="1"/>
  <c r="W116" i="1" a="1"/>
  <c r="W116" i="1" s="1"/>
  <c r="W117" i="1" a="1"/>
  <c r="W117" i="1" s="1"/>
  <c r="W118" i="1" a="1"/>
  <c r="W118" i="1" s="1"/>
  <c r="W119" i="1" a="1"/>
  <c r="W119" i="1" s="1"/>
  <c r="W120" i="1" a="1"/>
  <c r="W120" i="1" s="1"/>
  <c r="W102" i="1" a="1"/>
  <c r="W102" i="1" s="1"/>
  <c r="W121" i="1" a="1"/>
  <c r="W121" i="1" s="1"/>
  <c r="W122" i="1" a="1"/>
  <c r="W122" i="1" s="1"/>
  <c r="W123" i="1" a="1"/>
  <c r="W123" i="1" s="1"/>
  <c r="W124" i="1" a="1"/>
  <c r="W124" i="1" s="1"/>
  <c r="W125" i="1" a="1"/>
  <c r="W125" i="1" s="1"/>
  <c r="W126" i="1" a="1"/>
  <c r="W126" i="1" s="1"/>
  <c r="W99" i="1" a="1"/>
  <c r="W99" i="1" s="1"/>
  <c r="W127" i="1" a="1"/>
  <c r="W127" i="1" s="1"/>
  <c r="W128" i="1" a="1"/>
  <c r="W128" i="1" s="1"/>
  <c r="W26" i="1" a="1"/>
  <c r="W26" i="1" s="1"/>
  <c r="W129" i="1" a="1"/>
  <c r="W129" i="1" s="1"/>
  <c r="W52" i="1" a="1"/>
  <c r="W52" i="1" s="1"/>
  <c r="W130" i="1" a="1"/>
  <c r="W130" i="1" s="1"/>
  <c r="W131" i="1" a="1"/>
  <c r="W131" i="1" s="1"/>
  <c r="W132" i="1" a="1"/>
  <c r="W132" i="1" s="1"/>
  <c r="W133" i="1" a="1"/>
  <c r="W133" i="1" s="1"/>
  <c r="W134" i="1" a="1"/>
  <c r="W134" i="1" s="1"/>
  <c r="W135" i="1" a="1"/>
  <c r="W135" i="1" s="1"/>
  <c r="W136" i="1" a="1"/>
  <c r="W136" i="1" s="1"/>
  <c r="W137" i="1" a="1"/>
  <c r="W137" i="1" s="1"/>
  <c r="W138" i="1" a="1"/>
  <c r="W138" i="1" s="1"/>
  <c r="W139" i="1" a="1"/>
  <c r="W139" i="1" s="1"/>
  <c r="W140" i="1" a="1"/>
  <c r="W140" i="1" s="1"/>
  <c r="W141" i="1" a="1"/>
  <c r="W141" i="1" s="1"/>
  <c r="W142" i="1" a="1"/>
  <c r="W142" i="1" s="1"/>
  <c r="W143" i="1" a="1"/>
  <c r="W143" i="1" s="1"/>
  <c r="W144" i="1" a="1"/>
  <c r="W144" i="1" s="1"/>
  <c r="W145" i="1" a="1"/>
  <c r="W145" i="1" s="1"/>
  <c r="W146" i="1" a="1"/>
  <c r="W146" i="1" s="1"/>
  <c r="W147" i="1" a="1"/>
  <c r="W147" i="1" s="1"/>
  <c r="W148" i="1" a="1"/>
  <c r="W148" i="1" s="1"/>
  <c r="W149" i="1" a="1"/>
  <c r="W149" i="1" s="1"/>
  <c r="W150" i="1" a="1"/>
  <c r="W150" i="1" s="1"/>
  <c r="W151" i="1" a="1"/>
  <c r="W151" i="1" s="1"/>
  <c r="W152" i="1" a="1"/>
  <c r="W152" i="1" s="1"/>
  <c r="W153" i="1" a="1"/>
  <c r="W153" i="1" s="1"/>
  <c r="W154" i="1" a="1"/>
  <c r="W154" i="1" s="1"/>
  <c r="W155" i="1" a="1"/>
  <c r="W155" i="1" s="1"/>
  <c r="W156" i="1" a="1"/>
  <c r="W156" i="1" s="1"/>
  <c r="W45" i="1" a="1"/>
  <c r="W45" i="1" s="1"/>
  <c r="W157" i="1" a="1"/>
  <c r="W157" i="1" s="1"/>
  <c r="W158" i="1" a="1"/>
  <c r="W158" i="1" s="1"/>
  <c r="W159" i="1" a="1"/>
  <c r="W159" i="1" s="1"/>
  <c r="W160" i="1" a="1"/>
  <c r="W160" i="1" s="1"/>
  <c r="W161" i="1" a="1"/>
  <c r="W161" i="1" s="1"/>
  <c r="W162" i="1" a="1"/>
  <c r="W162" i="1" s="1"/>
  <c r="W163" i="1" a="1"/>
  <c r="W163" i="1" s="1"/>
  <c r="W164" i="1" a="1"/>
  <c r="W164" i="1" s="1"/>
  <c r="W165" i="1" a="1"/>
  <c r="W165" i="1" s="1"/>
  <c r="W166" i="1" a="1"/>
  <c r="W166" i="1" s="1"/>
  <c r="W167" i="1" a="1"/>
  <c r="W167" i="1" s="1"/>
  <c r="W168" i="1" a="1"/>
  <c r="W168" i="1" s="1"/>
  <c r="W169" i="1" a="1"/>
  <c r="W169" i="1" s="1"/>
  <c r="W97" i="1" a="1"/>
  <c r="W97" i="1" s="1"/>
  <c r="W170" i="1" a="1"/>
  <c r="W170" i="1" s="1"/>
  <c r="W171" i="1" a="1"/>
  <c r="W171" i="1" s="1"/>
  <c r="W172" i="1" a="1"/>
  <c r="W172" i="1" s="1"/>
  <c r="W27" i="1" a="1"/>
  <c r="W27" i="1" s="1"/>
  <c r="W173" i="1" a="1"/>
  <c r="W173" i="1" s="1"/>
  <c r="W33" i="1" a="1"/>
  <c r="W33" i="1" s="1"/>
  <c r="W174" i="1" a="1"/>
  <c r="W174" i="1" s="1"/>
  <c r="W175" i="1" a="1"/>
  <c r="W175" i="1" s="1"/>
  <c r="W176" i="1" a="1"/>
  <c r="W176" i="1" s="1"/>
  <c r="W177" i="1" a="1"/>
  <c r="W177" i="1" s="1"/>
  <c r="W82" i="1" a="1"/>
  <c r="W82" i="1" s="1"/>
  <c r="W74" i="1" a="1"/>
  <c r="W74" i="1" s="1"/>
  <c r="W178" i="1" a="1"/>
  <c r="W178" i="1" s="1"/>
  <c r="W179" i="1" a="1"/>
  <c r="W179" i="1" s="1"/>
  <c r="W180" i="1" a="1"/>
  <c r="W180" i="1" s="1"/>
  <c r="W181" i="1" a="1"/>
  <c r="W181" i="1" s="1"/>
  <c r="W182" i="1" a="1"/>
  <c r="W182" i="1" s="1"/>
  <c r="W183" i="1" a="1"/>
  <c r="W183" i="1" s="1"/>
  <c r="W184" i="1" a="1"/>
  <c r="W184" i="1" s="1"/>
  <c r="W5" i="1" a="1"/>
  <c r="W5" i="1" s="1"/>
  <c r="W185" i="1" a="1"/>
  <c r="W185" i="1" s="1"/>
  <c r="W186" i="1" a="1"/>
  <c r="W186" i="1" s="1"/>
  <c r="W42" i="1" a="1"/>
  <c r="W42" i="1" s="1"/>
  <c r="W187" i="1" a="1"/>
  <c r="W187" i="1" s="1"/>
  <c r="W29" i="1" a="1"/>
  <c r="W29" i="1" s="1"/>
  <c r="W53" i="1" a="1"/>
  <c r="W53" i="1" s="1"/>
  <c r="W188" i="1" a="1"/>
  <c r="W188" i="1" s="1"/>
  <c r="W189" i="1" a="1"/>
  <c r="W189" i="1" s="1"/>
  <c r="W15" i="1" a="1"/>
  <c r="W15" i="1" s="1"/>
  <c r="W190" i="1" a="1"/>
  <c r="W190" i="1" s="1"/>
  <c r="W191" i="1" a="1"/>
  <c r="W191" i="1" s="1"/>
  <c r="W192" i="1" a="1"/>
  <c r="W192" i="1" s="1"/>
  <c r="W193" i="1" a="1"/>
  <c r="W193" i="1" s="1"/>
  <c r="W194" i="1" a="1"/>
  <c r="W194" i="1" s="1"/>
  <c r="W195" i="1" a="1"/>
  <c r="W195" i="1" s="1"/>
  <c r="W196" i="1" a="1"/>
  <c r="W196" i="1" s="1"/>
  <c r="W73" i="1" a="1"/>
  <c r="W73" i="1" s="1"/>
  <c r="W76" i="1" a="1"/>
  <c r="W76" i="1" s="1"/>
  <c r="W197" i="1" a="1"/>
  <c r="W197" i="1" s="1"/>
  <c r="W198" i="1" a="1"/>
  <c r="W198" i="1" s="1"/>
  <c r="W92" i="1" a="1"/>
  <c r="W92" i="1" s="1"/>
  <c r="W64" i="1" a="1"/>
  <c r="W64" i="1" s="1"/>
  <c r="W22" i="1" a="1"/>
  <c r="W22" i="1" s="1"/>
  <c r="W199" i="1" a="1"/>
  <c r="W199" i="1" s="1"/>
  <c r="W200" i="1" a="1"/>
  <c r="W200" i="1" s="1"/>
  <c r="W201" i="1" a="1"/>
  <c r="W201" i="1" s="1"/>
  <c r="W202" i="1" a="1"/>
  <c r="W202" i="1" s="1"/>
  <c r="W203" i="1" a="1"/>
  <c r="W203" i="1" s="1"/>
  <c r="W204" i="1" a="1"/>
  <c r="W204" i="1" s="1"/>
  <c r="W205" i="1" a="1"/>
  <c r="W205" i="1" s="1"/>
  <c r="W206" i="1" a="1"/>
  <c r="W206" i="1" s="1"/>
  <c r="W207" i="1" a="1"/>
  <c r="W207" i="1" s="1"/>
  <c r="W208" i="1" a="1"/>
  <c r="W208" i="1" s="1"/>
  <c r="W209" i="1" a="1"/>
  <c r="W209" i="1" s="1"/>
  <c r="V110" i="1" a="1"/>
  <c r="V110" i="1" s="1"/>
  <c r="V111" i="1" a="1"/>
  <c r="V111" i="1" s="1"/>
  <c r="V112" i="1" a="1"/>
  <c r="V112" i="1" s="1"/>
  <c r="V113" i="1" a="1"/>
  <c r="V113" i="1" s="1"/>
  <c r="V114" i="1" a="1"/>
  <c r="V114" i="1" s="1"/>
  <c r="V98" i="1" a="1"/>
  <c r="V98" i="1" s="1"/>
  <c r="V91" i="1" a="1"/>
  <c r="V91" i="1" s="1"/>
  <c r="V115" i="1" a="1"/>
  <c r="V115" i="1" s="1"/>
  <c r="V28" i="1" a="1"/>
  <c r="V28" i="1" s="1"/>
  <c r="V116" i="1" a="1"/>
  <c r="V116" i="1" s="1"/>
  <c r="V117" i="1" a="1"/>
  <c r="V117" i="1" s="1"/>
  <c r="V118" i="1" a="1"/>
  <c r="V118" i="1" s="1"/>
  <c r="V119" i="1" a="1"/>
  <c r="V119" i="1" s="1"/>
  <c r="V120" i="1" a="1"/>
  <c r="V120" i="1" s="1"/>
  <c r="V102" i="1" a="1"/>
  <c r="V102" i="1" s="1"/>
  <c r="V121" i="1" a="1"/>
  <c r="V121" i="1" s="1"/>
  <c r="V122" i="1" a="1"/>
  <c r="V122" i="1" s="1"/>
  <c r="V123" i="1" a="1"/>
  <c r="V123" i="1" s="1"/>
  <c r="V124" i="1" a="1"/>
  <c r="V124" i="1" s="1"/>
  <c r="V125" i="1" a="1"/>
  <c r="V125" i="1" s="1"/>
  <c r="V126" i="1" a="1"/>
  <c r="V126" i="1" s="1"/>
  <c r="V99" i="1" a="1"/>
  <c r="V99" i="1" s="1"/>
  <c r="V127" i="1" a="1"/>
  <c r="V127" i="1" s="1"/>
  <c r="V128" i="1" a="1"/>
  <c r="V128" i="1" s="1"/>
  <c r="V26" i="1" a="1"/>
  <c r="V26" i="1" s="1"/>
  <c r="V129" i="1" a="1"/>
  <c r="V129" i="1" s="1"/>
  <c r="V52" i="1" a="1"/>
  <c r="V52" i="1" s="1"/>
  <c r="V130" i="1" a="1"/>
  <c r="V130" i="1" s="1"/>
  <c r="V131" i="1" a="1"/>
  <c r="V131" i="1" s="1"/>
  <c r="V132" i="1" a="1"/>
  <c r="V132" i="1" s="1"/>
  <c r="V133" i="1" a="1"/>
  <c r="V133" i="1" s="1"/>
  <c r="V134" i="1" a="1"/>
  <c r="V134" i="1" s="1"/>
  <c r="V135" i="1" a="1"/>
  <c r="V135" i="1" s="1"/>
  <c r="V136" i="1" a="1"/>
  <c r="V136" i="1" s="1"/>
  <c r="V137" i="1" a="1"/>
  <c r="V137" i="1" s="1"/>
  <c r="V138" i="1" a="1"/>
  <c r="V138" i="1" s="1"/>
  <c r="V139" i="1" a="1"/>
  <c r="V139" i="1" s="1"/>
  <c r="V140" i="1" a="1"/>
  <c r="V140" i="1" s="1"/>
  <c r="V141" i="1" a="1"/>
  <c r="V141" i="1" s="1"/>
  <c r="V142" i="1" a="1"/>
  <c r="V142" i="1" s="1"/>
  <c r="V143" i="1" a="1"/>
  <c r="V143" i="1" s="1"/>
  <c r="V144" i="1" a="1"/>
  <c r="V144" i="1" s="1"/>
  <c r="V145" i="1" a="1"/>
  <c r="V145" i="1" s="1"/>
  <c r="V146" i="1" a="1"/>
  <c r="V146" i="1" s="1"/>
  <c r="V147" i="1" a="1"/>
  <c r="V147" i="1" s="1"/>
  <c r="V148" i="1" a="1"/>
  <c r="V148" i="1" s="1"/>
  <c r="V149" i="1" a="1"/>
  <c r="V149" i="1" s="1"/>
  <c r="V150" i="1" a="1"/>
  <c r="V150" i="1" s="1"/>
  <c r="V151" i="1" a="1"/>
  <c r="V151" i="1" s="1"/>
  <c r="V152" i="1" a="1"/>
  <c r="V152" i="1" s="1"/>
  <c r="V153" i="1" a="1"/>
  <c r="V153" i="1" s="1"/>
  <c r="V154" i="1" a="1"/>
  <c r="V154" i="1" s="1"/>
  <c r="V155" i="1" a="1"/>
  <c r="V155" i="1" s="1"/>
  <c r="V156" i="1" a="1"/>
  <c r="V156" i="1" s="1"/>
  <c r="V45" i="1" a="1"/>
  <c r="V45" i="1" s="1"/>
  <c r="V157" i="1" a="1"/>
  <c r="V157" i="1" s="1"/>
  <c r="V158" i="1" a="1"/>
  <c r="V158" i="1" s="1"/>
  <c r="V159" i="1" a="1"/>
  <c r="V159" i="1" s="1"/>
  <c r="V160" i="1" a="1"/>
  <c r="V160" i="1" s="1"/>
  <c r="V161" i="1" a="1"/>
  <c r="V161" i="1" s="1"/>
  <c r="V162" i="1" a="1"/>
  <c r="V162" i="1" s="1"/>
  <c r="V163" i="1" a="1"/>
  <c r="V163" i="1" s="1"/>
  <c r="V164" i="1" a="1"/>
  <c r="V164" i="1" s="1"/>
  <c r="V165" i="1" a="1"/>
  <c r="V165" i="1" s="1"/>
  <c r="V166" i="1" a="1"/>
  <c r="V166" i="1" s="1"/>
  <c r="V167" i="1" a="1"/>
  <c r="V167" i="1" s="1"/>
  <c r="V168" i="1" a="1"/>
  <c r="V168" i="1" s="1"/>
  <c r="V169" i="1" a="1"/>
  <c r="V169" i="1" s="1"/>
  <c r="V97" i="1" a="1"/>
  <c r="V97" i="1" s="1"/>
  <c r="V170" i="1" a="1"/>
  <c r="V170" i="1" s="1"/>
  <c r="V171" i="1" a="1"/>
  <c r="V171" i="1" s="1"/>
  <c r="V172" i="1" a="1"/>
  <c r="V172" i="1" s="1"/>
  <c r="V27" i="1" a="1"/>
  <c r="V27" i="1" s="1"/>
  <c r="V173" i="1" a="1"/>
  <c r="V173" i="1" s="1"/>
  <c r="V33" i="1" a="1"/>
  <c r="V33" i="1" s="1"/>
  <c r="V174" i="1" a="1"/>
  <c r="V174" i="1" s="1"/>
  <c r="V175" i="1" a="1"/>
  <c r="V175" i="1" s="1"/>
  <c r="V176" i="1" a="1"/>
  <c r="V176" i="1" s="1"/>
  <c r="V177" i="1" a="1"/>
  <c r="V177" i="1" s="1"/>
  <c r="V82" i="1" a="1"/>
  <c r="V82" i="1" s="1"/>
  <c r="V74" i="1" a="1"/>
  <c r="V74" i="1" s="1"/>
  <c r="V178" i="1" a="1"/>
  <c r="V178" i="1" s="1"/>
  <c r="V179" i="1" a="1"/>
  <c r="V179" i="1" s="1"/>
  <c r="V180" i="1" a="1"/>
  <c r="V180" i="1" s="1"/>
  <c r="V181" i="1" a="1"/>
  <c r="V181" i="1" s="1"/>
  <c r="V182" i="1" a="1"/>
  <c r="V182" i="1" s="1"/>
  <c r="V183" i="1" a="1"/>
  <c r="V183" i="1" s="1"/>
  <c r="V184" i="1" a="1"/>
  <c r="V184" i="1" s="1"/>
  <c r="V5" i="1" a="1"/>
  <c r="V5" i="1" s="1"/>
  <c r="V185" i="1" a="1"/>
  <c r="V185" i="1" s="1"/>
  <c r="V186" i="1" a="1"/>
  <c r="V186" i="1" s="1"/>
  <c r="V42" i="1" a="1"/>
  <c r="V42" i="1" s="1"/>
  <c r="V187" i="1" a="1"/>
  <c r="V187" i="1" s="1"/>
  <c r="V29" i="1" a="1"/>
  <c r="V29" i="1" s="1"/>
  <c r="V53" i="1" a="1"/>
  <c r="V53" i="1" s="1"/>
  <c r="V188" i="1" a="1"/>
  <c r="V188" i="1" s="1"/>
  <c r="V189" i="1" a="1"/>
  <c r="V189" i="1" s="1"/>
  <c r="V15" i="1" a="1"/>
  <c r="V15" i="1" s="1"/>
  <c r="V190" i="1" a="1"/>
  <c r="V190" i="1" s="1"/>
  <c r="V191" i="1" a="1"/>
  <c r="V191" i="1" s="1"/>
  <c r="V192" i="1" a="1"/>
  <c r="V192" i="1" s="1"/>
  <c r="V193" i="1" a="1"/>
  <c r="V193" i="1" s="1"/>
  <c r="V194" i="1" a="1"/>
  <c r="V194" i="1" s="1"/>
  <c r="V195" i="1" a="1"/>
  <c r="V195" i="1" s="1"/>
  <c r="V196" i="1" a="1"/>
  <c r="V196" i="1" s="1"/>
  <c r="V73" i="1" a="1"/>
  <c r="V73" i="1" s="1"/>
  <c r="V76" i="1" a="1"/>
  <c r="V76" i="1" s="1"/>
  <c r="V197" i="1" a="1"/>
  <c r="V197" i="1" s="1"/>
  <c r="V198" i="1" a="1"/>
  <c r="V198" i="1" s="1"/>
  <c r="V92" i="1" a="1"/>
  <c r="V92" i="1" s="1"/>
  <c r="V64" i="1" a="1"/>
  <c r="V64" i="1" s="1"/>
  <c r="V22" i="1" a="1"/>
  <c r="V22" i="1" s="1"/>
  <c r="V199" i="1" a="1"/>
  <c r="V199" i="1" s="1"/>
  <c r="V200" i="1" a="1"/>
  <c r="V200" i="1" s="1"/>
  <c r="V201" i="1" a="1"/>
  <c r="V201" i="1" s="1"/>
  <c r="V202" i="1" a="1"/>
  <c r="V202" i="1" s="1"/>
  <c r="V203" i="1" a="1"/>
  <c r="V203" i="1" s="1"/>
  <c r="V204" i="1" a="1"/>
  <c r="V204" i="1" s="1"/>
  <c r="V205" i="1" a="1"/>
  <c r="V205" i="1" s="1"/>
  <c r="V206" i="1" a="1"/>
  <c r="V206" i="1" s="1"/>
  <c r="V207" i="1" a="1"/>
  <c r="V207" i="1" s="1"/>
  <c r="V208" i="1" a="1"/>
  <c r="V208" i="1" s="1"/>
  <c r="V209" i="1" a="1"/>
  <c r="V209" i="1" s="1"/>
  <c r="V210" i="1" a="1"/>
  <c r="V210" i="1" s="1"/>
  <c r="V7" i="1" a="1"/>
  <c r="V7" i="1" s="1"/>
  <c r="V211" i="1" a="1"/>
  <c r="V211" i="1" s="1"/>
  <c r="V212" i="1" a="1"/>
  <c r="V212" i="1" s="1"/>
  <c r="V213" i="1" a="1"/>
  <c r="V213" i="1" s="1"/>
  <c r="V214" i="1" a="1"/>
  <c r="V214" i="1" s="1"/>
  <c r="V215" i="1" a="1"/>
  <c r="V215" i="1" s="1"/>
  <c r="V216" i="1" a="1"/>
  <c r="V216" i="1" s="1"/>
  <c r="V217" i="1" a="1"/>
  <c r="V217" i="1" s="1"/>
  <c r="V218" i="1" a="1"/>
  <c r="V218" i="1" s="1"/>
  <c r="V219" i="1" a="1"/>
  <c r="V219" i="1" s="1"/>
  <c r="V9" i="1" a="1"/>
  <c r="V9" i="1" s="1"/>
  <c r="V220" i="1" a="1"/>
  <c r="V220" i="1" s="1"/>
  <c r="V221" i="1" a="1"/>
  <c r="V221" i="1" s="1"/>
  <c r="V222" i="1" a="1"/>
  <c r="V222" i="1" s="1"/>
  <c r="V223" i="1" a="1"/>
  <c r="V223" i="1" s="1"/>
  <c r="V224" i="1" a="1"/>
  <c r="V224" i="1" s="1"/>
  <c r="V225" i="1" a="1"/>
  <c r="V225" i="1" s="1"/>
  <c r="V226" i="1" a="1"/>
  <c r="V226" i="1" s="1"/>
  <c r="V227" i="1" a="1"/>
  <c r="V227" i="1" s="1"/>
  <c r="V228" i="1" a="1"/>
  <c r="V228" i="1" s="1"/>
  <c r="V229" i="1" a="1"/>
  <c r="V229" i="1" s="1"/>
  <c r="V71" i="1" a="1"/>
  <c r="V71" i="1" s="1"/>
  <c r="V34" i="1" a="1"/>
  <c r="V34" i="1" s="1"/>
  <c r="V230" i="1" a="1"/>
  <c r="V230" i="1" s="1"/>
  <c r="V231" i="1" a="1"/>
  <c r="V231" i="1" s="1"/>
  <c r="V59" i="1" a="1"/>
  <c r="V59" i="1" s="1"/>
  <c r="V232" i="1" a="1"/>
  <c r="V232" i="1" s="1"/>
  <c r="V233" i="1" a="1"/>
  <c r="V233" i="1" s="1"/>
  <c r="V234" i="1" a="1"/>
  <c r="V234" i="1" s="1"/>
  <c r="V84" i="1" a="1"/>
  <c r="V84" i="1" s="1"/>
  <c r="V61" i="1" a="1"/>
  <c r="V61" i="1" s="1"/>
  <c r="V62" i="1" a="1"/>
  <c r="V62" i="1" s="1"/>
  <c r="V235" i="1" a="1"/>
  <c r="V235" i="1" s="1"/>
  <c r="V56" i="1" a="1"/>
  <c r="V56" i="1" s="1"/>
  <c r="V236" i="1" a="1"/>
  <c r="V236" i="1" s="1"/>
  <c r="V237" i="1" a="1"/>
  <c r="V237" i="1" s="1"/>
  <c r="V238" i="1" a="1"/>
  <c r="V238" i="1" s="1"/>
  <c r="V239" i="1" a="1"/>
  <c r="V239" i="1" s="1"/>
  <c r="V240" i="1" a="1"/>
  <c r="V240" i="1" s="1"/>
  <c r="V241" i="1" a="1"/>
  <c r="V241" i="1" s="1"/>
  <c r="V242" i="1" a="1"/>
  <c r="V242" i="1" s="1"/>
  <c r="V40" i="1" a="1"/>
  <c r="V40" i="1" s="1"/>
  <c r="V243" i="1" a="1"/>
  <c r="V243" i="1" s="1"/>
  <c r="V244" i="1" a="1"/>
  <c r="V244" i="1" s="1"/>
  <c r="V245" i="1" a="1"/>
  <c r="V245" i="1" s="1"/>
  <c r="V43" i="1" a="1"/>
  <c r="V43" i="1" s="1"/>
  <c r="V67" i="1" a="1"/>
  <c r="V67" i="1" s="1"/>
  <c r="V246" i="1" a="1"/>
  <c r="V246" i="1" s="1"/>
  <c r="V247" i="1" a="1"/>
  <c r="V247" i="1" s="1"/>
  <c r="V248" i="1" a="1"/>
  <c r="V248" i="1" s="1"/>
  <c r="V101" i="1" a="1"/>
  <c r="V101" i="1" s="1"/>
  <c r="V249" i="1" a="1"/>
  <c r="V249" i="1" s="1"/>
  <c r="V250" i="1" a="1"/>
  <c r="V250" i="1" s="1"/>
  <c r="V251" i="1" a="1"/>
  <c r="V251" i="1" s="1"/>
  <c r="V32" i="1" a="1"/>
  <c r="V32" i="1" s="1"/>
  <c r="V252" i="1" a="1"/>
  <c r="V252" i="1" s="1"/>
  <c r="V253" i="1" a="1"/>
  <c r="V253" i="1" s="1"/>
  <c r="V87" i="1" a="1"/>
  <c r="V87" i="1" s="1"/>
  <c r="V254" i="1" a="1"/>
  <c r="V254" i="1" s="1"/>
  <c r="V255" i="1" a="1"/>
  <c r="V255" i="1" s="1"/>
  <c r="V256" i="1" a="1"/>
  <c r="V256" i="1" s="1"/>
  <c r="V257" i="1" a="1"/>
  <c r="V257" i="1" s="1"/>
  <c r="V258" i="1" a="1"/>
  <c r="V258" i="1" s="1"/>
  <c r="V49" i="1" a="1"/>
  <c r="V49" i="1" s="1"/>
  <c r="V63" i="1" a="1"/>
  <c r="V63" i="1" s="1"/>
  <c r="V88" i="1" a="1"/>
  <c r="V88" i="1" s="1"/>
  <c r="V259" i="1" a="1"/>
  <c r="V259" i="1" s="1"/>
  <c r="V260" i="1" a="1"/>
  <c r="V260" i="1" s="1"/>
  <c r="V261" i="1" a="1"/>
  <c r="V261" i="1" s="1"/>
  <c r="V262" i="1" a="1"/>
  <c r="V262" i="1" s="1"/>
  <c r="V263" i="1" a="1"/>
  <c r="V263" i="1" s="1"/>
  <c r="V264" i="1" a="1"/>
  <c r="V264" i="1" s="1"/>
  <c r="V265" i="1" a="1"/>
  <c r="V265" i="1" s="1"/>
  <c r="V266" i="1" a="1"/>
  <c r="V266" i="1" s="1"/>
  <c r="V267" i="1" a="1"/>
  <c r="V267" i="1" s="1"/>
  <c r="V268" i="1" a="1"/>
  <c r="V268" i="1" s="1"/>
  <c r="V269" i="1" a="1"/>
  <c r="V269" i="1" s="1"/>
  <c r="V270" i="1" a="1"/>
  <c r="V270" i="1" s="1"/>
  <c r="V271" i="1" a="1"/>
  <c r="V271" i="1" s="1"/>
  <c r="V272" i="1" a="1"/>
  <c r="V272" i="1" s="1"/>
  <c r="V273" i="1" a="1"/>
  <c r="V273" i="1" s="1"/>
  <c r="V274" i="1" a="1"/>
  <c r="V274" i="1" s="1"/>
  <c r="V275" i="1" a="1"/>
  <c r="V275" i="1" s="1"/>
  <c r="V276" i="1" a="1"/>
  <c r="V276" i="1" s="1"/>
  <c r="V277" i="1" a="1"/>
  <c r="V277" i="1" s="1"/>
  <c r="V278" i="1" a="1"/>
  <c r="V278" i="1" s="1"/>
  <c r="V279" i="1" a="1"/>
  <c r="V279" i="1" s="1"/>
  <c r="V94" i="1" a="1"/>
  <c r="V94" i="1" s="1"/>
  <c r="V280" i="1" a="1"/>
  <c r="V280" i="1" s="1"/>
  <c r="V281" i="1" a="1"/>
  <c r="V281" i="1" s="1"/>
  <c r="V282" i="1" a="1"/>
  <c r="V282" i="1" s="1"/>
  <c r="V283" i="1" a="1"/>
  <c r="V283" i="1" s="1"/>
  <c r="V284" i="1" a="1"/>
  <c r="V284" i="1" s="1"/>
  <c r="V285" i="1" a="1"/>
  <c r="V285" i="1" s="1"/>
  <c r="V286" i="1" a="1"/>
  <c r="V286" i="1" s="1"/>
  <c r="V107" i="1" a="1"/>
  <c r="V107" i="1" s="1"/>
  <c r="V287" i="1" a="1"/>
  <c r="V287" i="1" s="1"/>
  <c r="V55" i="1" a="1"/>
  <c r="V55" i="1" s="1"/>
  <c r="V11" i="1" a="1"/>
  <c r="V11" i="1" s="1"/>
  <c r="V13" i="1" a="1"/>
  <c r="V13" i="1" s="1"/>
  <c r="V288" i="1" a="1"/>
  <c r="V288" i="1" s="1"/>
  <c r="V24" i="1" a="1"/>
  <c r="V24" i="1" s="1"/>
  <c r="V289" i="1" a="1"/>
  <c r="V289" i="1" s="1"/>
  <c r="V8" i="1" a="1"/>
  <c r="V8" i="1" s="1"/>
  <c r="V103" i="1" a="1"/>
  <c r="V103" i="1" s="1"/>
  <c r="V290" i="1" a="1"/>
  <c r="V290" i="1" s="1"/>
  <c r="V35" i="1" a="1"/>
  <c r="V35" i="1" s="1"/>
  <c r="V291" i="1" a="1"/>
  <c r="V291" i="1" s="1"/>
  <c r="V292" i="1" a="1"/>
  <c r="V292" i="1" s="1"/>
  <c r="V293" i="1" a="1"/>
  <c r="V293" i="1" s="1"/>
  <c r="V294" i="1" a="1"/>
  <c r="V294" i="1" s="1"/>
  <c r="V295" i="1" a="1"/>
  <c r="V295" i="1" s="1"/>
  <c r="V296" i="1" a="1"/>
  <c r="V296" i="1" s="1"/>
  <c r="V297" i="1" a="1"/>
  <c r="V297" i="1" s="1"/>
  <c r="V298" i="1" a="1"/>
  <c r="V298" i="1" s="1"/>
  <c r="V299" i="1" a="1"/>
  <c r="V299" i="1" s="1"/>
  <c r="V300" i="1" a="1"/>
  <c r="V300" i="1" s="1"/>
  <c r="V301" i="1" a="1"/>
  <c r="V301" i="1" s="1"/>
  <c r="V302" i="1" a="1"/>
  <c r="V302" i="1" s="1"/>
  <c r="V303" i="1" a="1"/>
  <c r="V303" i="1" s="1"/>
  <c r="V304" i="1" a="1"/>
  <c r="V304" i="1" s="1"/>
  <c r="V305" i="1" a="1"/>
  <c r="V305" i="1" s="1"/>
  <c r="V306" i="1" a="1"/>
  <c r="V306" i="1" s="1"/>
  <c r="V57" i="1" a="1"/>
  <c r="V57" i="1" s="1"/>
  <c r="V307" i="1" a="1"/>
  <c r="V307" i="1" s="1"/>
  <c r="V95" i="1" a="1"/>
  <c r="V95" i="1" s="1"/>
  <c r="V308" i="1" a="1"/>
  <c r="V308" i="1" s="1"/>
  <c r="V78" i="1" a="1"/>
  <c r="V78" i="1" s="1"/>
  <c r="V20" i="1" a="1"/>
  <c r="V20" i="1" s="1"/>
  <c r="V6" i="1" a="1"/>
  <c r="V6" i="1" s="1"/>
  <c r="V96" i="1" a="1"/>
  <c r="V96" i="1" s="1"/>
  <c r="V86" i="1" a="1"/>
  <c r="V86" i="1" s="1"/>
  <c r="V309" i="1" a="1"/>
  <c r="V309" i="1" s="1"/>
  <c r="V310" i="1" a="1"/>
  <c r="V310" i="1" s="1"/>
  <c r="V311" i="1" a="1"/>
  <c r="V311" i="1" s="1"/>
  <c r="V90" i="1" a="1"/>
  <c r="V90" i="1" s="1"/>
  <c r="V312" i="1" a="1"/>
  <c r="V312" i="1" s="1"/>
  <c r="V313" i="1" a="1"/>
  <c r="V313" i="1" s="1"/>
  <c r="V314" i="1" a="1"/>
  <c r="V314" i="1" s="1"/>
  <c r="V315" i="1" a="1"/>
  <c r="V315" i="1" s="1"/>
  <c r="V316" i="1" a="1"/>
  <c r="V316" i="1" s="1"/>
  <c r="V317" i="1" a="1"/>
  <c r="V317" i="1" s="1"/>
  <c r="V318" i="1" a="1"/>
  <c r="V318" i="1" s="1"/>
  <c r="V72" i="1" a="1"/>
  <c r="V72" i="1" s="1"/>
  <c r="V319" i="1" a="1"/>
  <c r="V319" i="1" s="1"/>
  <c r="V25" i="1" a="1"/>
  <c r="V25" i="1" s="1"/>
  <c r="V320" i="1" a="1"/>
  <c r="V320" i="1" s="1"/>
  <c r="V321" i="1" a="1"/>
  <c r="V321" i="1" s="1"/>
  <c r="V322" i="1" a="1"/>
  <c r="V322" i="1" s="1"/>
  <c r="V69" i="1" a="1"/>
  <c r="V69" i="1" s="1"/>
  <c r="V323" i="1" a="1"/>
  <c r="V323" i="1" s="1"/>
  <c r="V324" i="1" a="1"/>
  <c r="V324" i="1" s="1"/>
  <c r="V325" i="1" a="1"/>
  <c r="V325" i="1" s="1"/>
  <c r="V326" i="1" a="1"/>
  <c r="V326" i="1" s="1"/>
  <c r="V327" i="1" a="1"/>
  <c r="V327" i="1" s="1"/>
  <c r="V16" i="1" a="1"/>
  <c r="V16" i="1" s="1"/>
  <c r="V328" i="1" a="1"/>
  <c r="V328" i="1" s="1"/>
  <c r="V17" i="1" a="1"/>
  <c r="V17" i="1" s="1"/>
  <c r="V329" i="1" a="1"/>
  <c r="V329" i="1" s="1"/>
  <c r="V75" i="1" a="1"/>
  <c r="V75" i="1" s="1"/>
  <c r="V18" i="1" a="1"/>
  <c r="V18" i="1" s="1"/>
  <c r="V330" i="1" a="1"/>
  <c r="V330" i="1" s="1"/>
  <c r="V331" i="1" a="1"/>
  <c r="V331" i="1" s="1"/>
  <c r="V332" i="1" a="1"/>
  <c r="V332" i="1" s="1"/>
  <c r="V333" i="1" a="1"/>
  <c r="V333" i="1" s="1"/>
  <c r="V334" i="1" a="1"/>
  <c r="V334" i="1" s="1"/>
  <c r="V335" i="1" a="1"/>
  <c r="V335" i="1" s="1"/>
  <c r="V336" i="1" a="1"/>
  <c r="V336" i="1" s="1"/>
  <c r="V337" i="1" a="1"/>
  <c r="V337" i="1" s="1"/>
  <c r="V338" i="1" a="1"/>
  <c r="V338" i="1" s="1"/>
  <c r="V89" i="1" a="1"/>
  <c r="V89" i="1" s="1"/>
  <c r="V70" i="1" a="1"/>
  <c r="V70" i="1" s="1"/>
  <c r="V339" i="1" a="1"/>
  <c r="V339" i="1" s="1"/>
  <c r="V340" i="1" a="1"/>
  <c r="V340" i="1" s="1"/>
  <c r="V341" i="1" a="1"/>
  <c r="V341" i="1" s="1"/>
  <c r="V342" i="1" a="1"/>
  <c r="V342" i="1" s="1"/>
  <c r="V343" i="1" a="1"/>
  <c r="V343" i="1" s="1"/>
  <c r="V344" i="1" a="1"/>
  <c r="V344" i="1" s="1"/>
  <c r="V345" i="1" a="1"/>
  <c r="V345" i="1" s="1"/>
  <c r="V346" i="1" a="1"/>
  <c r="V346" i="1" s="1"/>
  <c r="V347" i="1" a="1"/>
  <c r="V347" i="1" s="1"/>
  <c r="V348" i="1" a="1"/>
  <c r="V348" i="1" s="1"/>
  <c r="V349" i="1" a="1"/>
  <c r="V349" i="1" s="1"/>
  <c r="V350" i="1" a="1"/>
  <c r="V350" i="1" s="1"/>
  <c r="V351" i="1" a="1"/>
  <c r="V351" i="1" s="1"/>
  <c r="V352" i="1" a="1"/>
  <c r="V352" i="1" s="1"/>
  <c r="V353" i="1" a="1"/>
  <c r="V353" i="1" s="1"/>
  <c r="V354" i="1" a="1"/>
  <c r="V354" i="1" s="1"/>
  <c r="V48" i="1" a="1"/>
  <c r="V48" i="1" s="1"/>
  <c r="V355" i="1" a="1"/>
  <c r="V355" i="1" s="1"/>
  <c r="V356" i="1" a="1"/>
  <c r="V356" i="1" s="1"/>
  <c r="V14" i="1" a="1"/>
  <c r="V14" i="1" s="1"/>
  <c r="V65" i="1" a="1"/>
  <c r="V65" i="1" s="1"/>
  <c r="V357" i="1" a="1"/>
  <c r="V357" i="1" s="1"/>
  <c r="V358" i="1" a="1"/>
  <c r="V358" i="1" s="1"/>
  <c r="V47" i="1" a="1"/>
  <c r="V47" i="1" s="1"/>
  <c r="V359" i="1" a="1"/>
  <c r="V359" i="1" s="1"/>
  <c r="V80" i="1" a="1"/>
  <c r="V80" i="1" s="1"/>
  <c r="V21" i="1" a="1"/>
  <c r="V21" i="1" s="1"/>
  <c r="V85" i="1" a="1"/>
  <c r="V85" i="1" s="1"/>
  <c r="V360" i="1" a="1"/>
  <c r="V360" i="1" s="1"/>
  <c r="V361" i="1" a="1"/>
  <c r="V361" i="1" s="1"/>
  <c r="V362" i="1" a="1"/>
  <c r="V362" i="1" s="1"/>
  <c r="V363" i="1" a="1"/>
  <c r="V363" i="1" s="1"/>
  <c r="V364" i="1" a="1"/>
  <c r="V364" i="1" s="1"/>
  <c r="V365" i="1" a="1"/>
  <c r="V365" i="1" s="1"/>
  <c r="V366" i="1" a="1"/>
  <c r="V366" i="1" s="1"/>
  <c r="V367" i="1" a="1"/>
  <c r="V367" i="1" s="1"/>
  <c r="V368" i="1" a="1"/>
  <c r="V368" i="1" s="1"/>
  <c r="V77" i="1" a="1"/>
  <c r="V77" i="1" s="1"/>
  <c r="V369" i="1" a="1"/>
  <c r="V369" i="1" s="1"/>
  <c r="V60" i="1" a="1"/>
  <c r="V60" i="1" s="1"/>
  <c r="V83" i="1" a="1"/>
  <c r="V83" i="1" s="1"/>
  <c r="V108" i="1" a="1"/>
  <c r="V108" i="1" s="1"/>
  <c r="V370" i="1" a="1"/>
  <c r="V370" i="1" s="1"/>
  <c r="V371" i="1" a="1"/>
  <c r="V371" i="1" s="1"/>
  <c r="V372" i="1" a="1"/>
  <c r="V372" i="1" s="1"/>
  <c r="V373" i="1" a="1"/>
  <c r="V373" i="1" s="1"/>
  <c r="V374" i="1" a="1"/>
  <c r="V374" i="1" s="1"/>
  <c r="V375" i="1" a="1"/>
  <c r="V375" i="1" s="1"/>
  <c r="V376" i="1" a="1"/>
  <c r="V376" i="1" s="1"/>
  <c r="V377" i="1" a="1"/>
  <c r="V377" i="1" s="1"/>
  <c r="V378" i="1" a="1"/>
  <c r="V378" i="1" s="1"/>
  <c r="V379" i="1" a="1"/>
  <c r="V379" i="1" s="1"/>
  <c r="V380" i="1" a="1"/>
  <c r="V380" i="1" s="1"/>
  <c r="V381" i="1" a="1"/>
  <c r="V381" i="1" s="1"/>
  <c r="V51" i="1" a="1"/>
  <c r="V51" i="1" s="1"/>
  <c r="V382" i="1" a="1"/>
  <c r="V382" i="1" s="1"/>
  <c r="V383" i="1" a="1"/>
  <c r="V383" i="1" s="1"/>
  <c r="V105" i="1" a="1"/>
  <c r="V105" i="1" s="1"/>
  <c r="V384" i="1" a="1"/>
  <c r="V384" i="1" s="1"/>
  <c r="V385" i="1" a="1"/>
  <c r="V385" i="1" s="1"/>
  <c r="V386" i="1" a="1"/>
  <c r="V386" i="1" s="1"/>
  <c r="V387" i="1" a="1"/>
  <c r="V387" i="1" s="1"/>
  <c r="V388" i="1" a="1"/>
  <c r="V388" i="1" s="1"/>
  <c r="V389" i="1" a="1"/>
  <c r="V389" i="1" s="1"/>
  <c r="V390" i="1" a="1"/>
  <c r="V390" i="1" s="1"/>
  <c r="V391" i="1" a="1"/>
  <c r="V391" i="1" s="1"/>
  <c r="V392" i="1" a="1"/>
  <c r="V392" i="1" s="1"/>
  <c r="V393" i="1" a="1"/>
  <c r="V393" i="1" s="1"/>
  <c r="V394" i="1" a="1"/>
  <c r="V394" i="1" s="1"/>
  <c r="V395" i="1" a="1"/>
  <c r="V395" i="1" s="1"/>
  <c r="V396" i="1" a="1"/>
  <c r="V396" i="1" s="1"/>
  <c r="V397" i="1" a="1"/>
  <c r="V397" i="1" s="1"/>
  <c r="V398" i="1" a="1"/>
  <c r="V398" i="1" s="1"/>
  <c r="V399" i="1" a="1"/>
  <c r="V399" i="1" s="1"/>
  <c r="V400" i="1" a="1"/>
  <c r="V400" i="1" s="1"/>
  <c r="V401" i="1" a="1"/>
  <c r="V401" i="1" s="1"/>
  <c r="V402" i="1" a="1"/>
  <c r="V402" i="1" s="1"/>
  <c r="V403" i="1" a="1"/>
  <c r="V403" i="1" s="1"/>
  <c r="V404" i="1" a="1"/>
  <c r="V404" i="1" s="1"/>
  <c r="V405" i="1" a="1"/>
  <c r="V405" i="1" s="1"/>
  <c r="V406" i="1" a="1"/>
  <c r="V406" i="1" s="1"/>
  <c r="V407" i="1" a="1"/>
  <c r="V407" i="1" s="1"/>
  <c r="V408" i="1" a="1"/>
  <c r="V408" i="1" s="1"/>
  <c r="V58" i="1" a="1"/>
  <c r="V58" i="1" s="1"/>
  <c r="V410" i="1" a="1"/>
  <c r="V410" i="1" s="1"/>
  <c r="V411" i="1" a="1"/>
  <c r="V411" i="1" s="1"/>
  <c r="V412" i="1" a="1"/>
  <c r="V412" i="1" s="1"/>
  <c r="V31" i="1" a="1"/>
  <c r="V31" i="1" s="1"/>
  <c r="V36" i="1" a="1"/>
  <c r="V36" i="1" s="1"/>
  <c r="V19" i="1" a="1"/>
  <c r="V19" i="1" s="1"/>
  <c r="V79" i="1" a="1"/>
  <c r="V79" i="1" s="1"/>
  <c r="V413" i="1" a="1"/>
  <c r="V413" i="1" s="1"/>
  <c r="V38" i="1" a="1"/>
  <c r="V38" i="1" s="1"/>
  <c r="V46" i="1" a="1"/>
  <c r="V46" i="1" s="1"/>
  <c r="V4" i="1" a="1"/>
  <c r="V4" i="1" s="1"/>
  <c r="V414" i="1" a="1"/>
  <c r="V414" i="1" s="1"/>
  <c r="V415" i="1" a="1"/>
  <c r="V415" i="1" s="1"/>
  <c r="V66" i="1" a="1"/>
  <c r="V66" i="1" s="1"/>
  <c r="V50" i="1" a="1"/>
  <c r="V50" i="1" s="1"/>
  <c r="V416" i="1" a="1"/>
  <c r="V416" i="1" s="1"/>
  <c r="V417" i="1" a="1"/>
  <c r="V417" i="1" s="1"/>
  <c r="V54" i="1" a="1"/>
  <c r="V54" i="1" s="1"/>
  <c r="V23" i="1" a="1"/>
  <c r="V23" i="1" s="1"/>
  <c r="V418" i="1" a="1"/>
  <c r="V418" i="1" s="1"/>
  <c r="V419" i="1" a="1"/>
  <c r="V419" i="1" s="1"/>
  <c r="V93" i="1" a="1"/>
  <c r="V93" i="1" s="1"/>
  <c r="V420" i="1" a="1"/>
  <c r="V420" i="1" s="1"/>
  <c r="V104" i="1" a="1"/>
  <c r="V104" i="1" s="1"/>
  <c r="V421" i="1" a="1"/>
  <c r="V421" i="1" s="1"/>
  <c r="V422" i="1" a="1"/>
  <c r="V422" i="1" s="1"/>
  <c r="V423" i="1" a="1"/>
  <c r="V423" i="1" s="1"/>
  <c r="V424" i="1" a="1"/>
  <c r="V424" i="1" s="1"/>
  <c r="V425" i="1" a="1"/>
  <c r="V425" i="1" s="1"/>
  <c r="V10" i="1" a="1"/>
  <c r="V10" i="1" s="1"/>
  <c r="V426" i="1" a="1"/>
  <c r="V426" i="1" s="1"/>
  <c r="V427" i="1" a="1"/>
  <c r="V427" i="1" s="1"/>
  <c r="V428" i="1" a="1"/>
  <c r="V428" i="1" s="1"/>
  <c r="V81" i="1" a="1"/>
  <c r="V81" i="1" s="1"/>
  <c r="V41" i="1" a="1"/>
  <c r="V41" i="1" s="1"/>
  <c r="V39" i="1" a="1"/>
  <c r="V39" i="1" s="1"/>
  <c r="U110" i="1" a="1"/>
  <c r="U110" i="1" s="1"/>
  <c r="U111" i="1" a="1"/>
  <c r="U111" i="1" s="1"/>
  <c r="U112" i="1" a="1"/>
  <c r="U112" i="1" s="1"/>
  <c r="U113" i="1" a="1"/>
  <c r="U113" i="1" s="1"/>
  <c r="U114" i="1" a="1"/>
  <c r="U114" i="1" s="1"/>
  <c r="U98" i="1" a="1"/>
  <c r="U98" i="1" s="1"/>
  <c r="U91" i="1" a="1"/>
  <c r="U91" i="1" s="1"/>
  <c r="U115" i="1" a="1"/>
  <c r="U115" i="1" s="1"/>
  <c r="U28" i="1" a="1"/>
  <c r="U28" i="1" s="1"/>
  <c r="U116" i="1" a="1"/>
  <c r="U116" i="1" s="1"/>
  <c r="U117" i="1" a="1"/>
  <c r="U117" i="1" s="1"/>
  <c r="U118" i="1" a="1"/>
  <c r="U118" i="1" s="1"/>
  <c r="U119" i="1" a="1"/>
  <c r="U119" i="1" s="1"/>
  <c r="U120" i="1" a="1"/>
  <c r="U120" i="1" s="1"/>
  <c r="U102" i="1" a="1"/>
  <c r="U102" i="1" s="1"/>
  <c r="U121" i="1" a="1"/>
  <c r="U121" i="1" s="1"/>
  <c r="U122" i="1" a="1"/>
  <c r="U122" i="1" s="1"/>
  <c r="U123" i="1" a="1"/>
  <c r="U123" i="1" s="1"/>
  <c r="U124" i="1" a="1"/>
  <c r="U124" i="1" s="1"/>
  <c r="U125" i="1" a="1"/>
  <c r="U125" i="1" s="1"/>
  <c r="U126" i="1" a="1"/>
  <c r="U126" i="1" s="1"/>
  <c r="U99" i="1" a="1"/>
  <c r="U99" i="1" s="1"/>
  <c r="U127" i="1" a="1"/>
  <c r="U127" i="1" s="1"/>
  <c r="U128" i="1" a="1"/>
  <c r="U128" i="1" s="1"/>
  <c r="U26" i="1" a="1"/>
  <c r="U26" i="1" s="1"/>
  <c r="U129" i="1" a="1"/>
  <c r="U129" i="1" s="1"/>
  <c r="U52" i="1" a="1"/>
  <c r="U52" i="1" s="1"/>
  <c r="U130" i="1" a="1"/>
  <c r="U130" i="1" s="1"/>
  <c r="U131" i="1" a="1"/>
  <c r="U131" i="1" s="1"/>
  <c r="U132" i="1" a="1"/>
  <c r="U132" i="1" s="1"/>
  <c r="U133" i="1" a="1"/>
  <c r="U133" i="1" s="1"/>
  <c r="U134" i="1" a="1"/>
  <c r="U134" i="1" s="1"/>
  <c r="U135" i="1" a="1"/>
  <c r="U135" i="1" s="1"/>
  <c r="U136" i="1" a="1"/>
  <c r="U136" i="1" s="1"/>
  <c r="U137" i="1" a="1"/>
  <c r="U137" i="1" s="1"/>
  <c r="U138" i="1" a="1"/>
  <c r="U138" i="1" s="1"/>
  <c r="U139" i="1" a="1"/>
  <c r="U139" i="1" s="1"/>
  <c r="U140" i="1" a="1"/>
  <c r="U140" i="1" s="1"/>
  <c r="U141" i="1" a="1"/>
  <c r="U141" i="1" s="1"/>
  <c r="U142" i="1" a="1"/>
  <c r="U142" i="1" s="1"/>
  <c r="U143" i="1" a="1"/>
  <c r="U143" i="1" s="1"/>
  <c r="U144" i="1" a="1"/>
  <c r="U144" i="1" s="1"/>
  <c r="U145" i="1" a="1"/>
  <c r="U145" i="1" s="1"/>
  <c r="U146" i="1" a="1"/>
  <c r="U146" i="1" s="1"/>
  <c r="U147" i="1" a="1"/>
  <c r="U147" i="1" s="1"/>
  <c r="U148" i="1" a="1"/>
  <c r="U148" i="1" s="1"/>
  <c r="U149" i="1" a="1"/>
  <c r="U149" i="1" s="1"/>
  <c r="U150" i="1" a="1"/>
  <c r="U150" i="1" s="1"/>
  <c r="U151" i="1" a="1"/>
  <c r="U151" i="1" s="1"/>
  <c r="U152" i="1" a="1"/>
  <c r="U152" i="1" s="1"/>
  <c r="U153" i="1" a="1"/>
  <c r="U153" i="1" s="1"/>
  <c r="U154" i="1" a="1"/>
  <c r="U154" i="1" s="1"/>
  <c r="U155" i="1" a="1"/>
  <c r="U155" i="1" s="1"/>
  <c r="U156" i="1" a="1"/>
  <c r="U156" i="1" s="1"/>
  <c r="U45" i="1" a="1"/>
  <c r="U45" i="1" s="1"/>
  <c r="U157" i="1" a="1"/>
  <c r="U157" i="1" s="1"/>
  <c r="U158" i="1" a="1"/>
  <c r="U158" i="1" s="1"/>
  <c r="U159" i="1" a="1"/>
  <c r="U159" i="1" s="1"/>
  <c r="U160" i="1" a="1"/>
  <c r="U160" i="1" s="1"/>
  <c r="U161" i="1" a="1"/>
  <c r="U161" i="1" s="1"/>
  <c r="U162" i="1" a="1"/>
  <c r="U162" i="1" s="1"/>
  <c r="U163" i="1" a="1"/>
  <c r="U163" i="1" s="1"/>
  <c r="U164" i="1" a="1"/>
  <c r="U164" i="1" s="1"/>
  <c r="U165" i="1" a="1"/>
  <c r="U165" i="1" s="1"/>
  <c r="U166" i="1" a="1"/>
  <c r="U166" i="1" s="1"/>
  <c r="U167" i="1" a="1"/>
  <c r="U167" i="1" s="1"/>
  <c r="U168" i="1" a="1"/>
  <c r="U168" i="1" s="1"/>
  <c r="U169" i="1" a="1"/>
  <c r="U169" i="1" s="1"/>
  <c r="U97" i="1" a="1"/>
  <c r="U97" i="1" s="1"/>
  <c r="U170" i="1" a="1"/>
  <c r="U170" i="1" s="1"/>
  <c r="U171" i="1" a="1"/>
  <c r="U171" i="1" s="1"/>
  <c r="U172" i="1" a="1"/>
  <c r="U172" i="1" s="1"/>
  <c r="U27" i="1" a="1"/>
  <c r="U27" i="1" s="1"/>
  <c r="U173" i="1" a="1"/>
  <c r="U173" i="1" s="1"/>
  <c r="U33" i="1" a="1"/>
  <c r="U33" i="1" s="1"/>
  <c r="U174" i="1" a="1"/>
  <c r="U174" i="1" s="1"/>
  <c r="U175" i="1" a="1"/>
  <c r="U175" i="1" s="1"/>
  <c r="U176" i="1" a="1"/>
  <c r="U176" i="1" s="1"/>
  <c r="U177" i="1" a="1"/>
  <c r="U177" i="1" s="1"/>
  <c r="U82" i="1" a="1"/>
  <c r="U82" i="1" s="1"/>
  <c r="U74" i="1" a="1"/>
  <c r="U74" i="1" s="1"/>
  <c r="U178" i="1" a="1"/>
  <c r="U178" i="1" s="1"/>
  <c r="U179" i="1" a="1"/>
  <c r="U179" i="1" s="1"/>
  <c r="U180" i="1" a="1"/>
  <c r="U180" i="1" s="1"/>
  <c r="U181" i="1" a="1"/>
  <c r="U181" i="1" s="1"/>
  <c r="U182" i="1" a="1"/>
  <c r="U182" i="1" s="1"/>
  <c r="U183" i="1" a="1"/>
  <c r="U183" i="1" s="1"/>
  <c r="U184" i="1" a="1"/>
  <c r="U184" i="1" s="1"/>
  <c r="U5" i="1" a="1"/>
  <c r="U5" i="1" s="1"/>
  <c r="U185" i="1" a="1"/>
  <c r="U185" i="1" s="1"/>
  <c r="U186" i="1" a="1"/>
  <c r="U186" i="1" s="1"/>
  <c r="U42" i="1" a="1"/>
  <c r="U42" i="1" s="1"/>
  <c r="U187" i="1" a="1"/>
  <c r="U187" i="1" s="1"/>
  <c r="U29" i="1" a="1"/>
  <c r="U29" i="1" s="1"/>
  <c r="U53" i="1" a="1"/>
  <c r="U53" i="1" s="1"/>
  <c r="U188" i="1" a="1"/>
  <c r="U188" i="1" s="1"/>
  <c r="U189" i="1" a="1"/>
  <c r="U189" i="1" s="1"/>
  <c r="U15" i="1" a="1"/>
  <c r="U15" i="1" s="1"/>
  <c r="U190" i="1" a="1"/>
  <c r="U190" i="1" s="1"/>
  <c r="U191" i="1" a="1"/>
  <c r="U191" i="1" s="1"/>
  <c r="U192" i="1" a="1"/>
  <c r="U192" i="1" s="1"/>
  <c r="U193" i="1" a="1"/>
  <c r="U193" i="1" s="1"/>
  <c r="U194" i="1" a="1"/>
  <c r="U194" i="1" s="1"/>
  <c r="U195" i="1" a="1"/>
  <c r="U195" i="1" s="1"/>
  <c r="U196" i="1" a="1"/>
  <c r="U196" i="1" s="1"/>
  <c r="U73" i="1" a="1"/>
  <c r="U73" i="1" s="1"/>
  <c r="U76" i="1" a="1"/>
  <c r="U76" i="1" s="1"/>
  <c r="U197" i="1" a="1"/>
  <c r="U197" i="1" s="1"/>
  <c r="U198" i="1" a="1"/>
  <c r="U198" i="1" s="1"/>
  <c r="U92" i="1" a="1"/>
  <c r="U92" i="1" s="1"/>
  <c r="U64" i="1" a="1"/>
  <c r="U64" i="1" s="1"/>
  <c r="U22" i="1" a="1"/>
  <c r="U22" i="1" s="1"/>
  <c r="U199" i="1" a="1"/>
  <c r="U199" i="1" s="1"/>
  <c r="U200" i="1" a="1"/>
  <c r="U200" i="1" s="1"/>
  <c r="U201" i="1" a="1"/>
  <c r="U201" i="1" s="1"/>
  <c r="U202" i="1" a="1"/>
  <c r="U202" i="1" s="1"/>
  <c r="U203" i="1" a="1"/>
  <c r="U203" i="1" s="1"/>
  <c r="U204" i="1" a="1"/>
  <c r="U204" i="1" s="1"/>
  <c r="U205" i="1" a="1"/>
  <c r="U205" i="1" s="1"/>
  <c r="U206" i="1" a="1"/>
  <c r="U206" i="1" s="1"/>
  <c r="U207" i="1" a="1"/>
  <c r="U207" i="1" s="1"/>
  <c r="U208" i="1" a="1"/>
  <c r="U208" i="1" s="1"/>
  <c r="U209" i="1" a="1"/>
  <c r="U209" i="1" s="1"/>
  <c r="U210" i="1" a="1"/>
  <c r="U210" i="1" s="1"/>
  <c r="U7" i="1" a="1"/>
  <c r="U7" i="1" s="1"/>
  <c r="U211" i="1" a="1"/>
  <c r="U211" i="1" s="1"/>
  <c r="U212" i="1" a="1"/>
  <c r="U212" i="1" s="1"/>
  <c r="U213" i="1" a="1"/>
  <c r="U213" i="1" s="1"/>
  <c r="U214" i="1" a="1"/>
  <c r="U214" i="1" s="1"/>
  <c r="U215" i="1" a="1"/>
  <c r="U215" i="1" s="1"/>
  <c r="U216" i="1" a="1"/>
  <c r="U216" i="1" s="1"/>
  <c r="U217" i="1" a="1"/>
  <c r="U217" i="1" s="1"/>
  <c r="U218" i="1" a="1"/>
  <c r="U218" i="1" s="1"/>
  <c r="U219" i="1" a="1"/>
  <c r="U219" i="1" s="1"/>
  <c r="U9" i="1" a="1"/>
  <c r="U9" i="1" s="1"/>
  <c r="U220" i="1" a="1"/>
  <c r="U220" i="1" s="1"/>
  <c r="U221" i="1" a="1"/>
  <c r="U221" i="1" s="1"/>
  <c r="U222" i="1" a="1"/>
  <c r="U222" i="1" s="1"/>
  <c r="U223" i="1" a="1"/>
  <c r="U223" i="1" s="1"/>
  <c r="U224" i="1" a="1"/>
  <c r="U224" i="1" s="1"/>
  <c r="U225" i="1" a="1"/>
  <c r="U225" i="1" s="1"/>
  <c r="U226" i="1" a="1"/>
  <c r="U226" i="1" s="1"/>
  <c r="U227" i="1" a="1"/>
  <c r="U227" i="1" s="1"/>
  <c r="U228" i="1" a="1"/>
  <c r="U228" i="1" s="1"/>
  <c r="U229" i="1" a="1"/>
  <c r="U229" i="1" s="1"/>
  <c r="U71" i="1" a="1"/>
  <c r="U71" i="1" s="1"/>
  <c r="U34" i="1" a="1"/>
  <c r="U34" i="1" s="1"/>
  <c r="U230" i="1" a="1"/>
  <c r="U230" i="1" s="1"/>
  <c r="U231" i="1" a="1"/>
  <c r="U231" i="1" s="1"/>
  <c r="U59" i="1" a="1"/>
  <c r="U59" i="1" s="1"/>
  <c r="U232" i="1" a="1"/>
  <c r="U232" i="1" s="1"/>
  <c r="U233" i="1" a="1"/>
  <c r="U233" i="1" s="1"/>
  <c r="U234" i="1" a="1"/>
  <c r="U234" i="1" s="1"/>
  <c r="U84" i="1" a="1"/>
  <c r="U84" i="1" s="1"/>
  <c r="U61" i="1" a="1"/>
  <c r="U61" i="1" s="1"/>
  <c r="U62" i="1" a="1"/>
  <c r="U62" i="1" s="1"/>
  <c r="U235" i="1" a="1"/>
  <c r="U235" i="1" s="1"/>
  <c r="U56" i="1" a="1"/>
  <c r="U56" i="1" s="1"/>
  <c r="U236" i="1" a="1"/>
  <c r="U236" i="1" s="1"/>
  <c r="U237" i="1" a="1"/>
  <c r="U237" i="1" s="1"/>
  <c r="U238" i="1" a="1"/>
  <c r="U238" i="1" s="1"/>
  <c r="U239" i="1" a="1"/>
  <c r="U239" i="1" s="1"/>
  <c r="U240" i="1" a="1"/>
  <c r="U240" i="1" s="1"/>
  <c r="U241" i="1" a="1"/>
  <c r="U241" i="1" s="1"/>
  <c r="U242" i="1" a="1"/>
  <c r="U242" i="1" s="1"/>
  <c r="U40" i="1" a="1"/>
  <c r="U40" i="1" s="1"/>
  <c r="U243" i="1" a="1"/>
  <c r="U243" i="1" s="1"/>
  <c r="U244" i="1" a="1"/>
  <c r="U244" i="1" s="1"/>
  <c r="U245" i="1" a="1"/>
  <c r="U245" i="1" s="1"/>
  <c r="U43" i="1" a="1"/>
  <c r="U43" i="1" s="1"/>
  <c r="U67" i="1" a="1"/>
  <c r="U67" i="1" s="1"/>
  <c r="U246" i="1" a="1"/>
  <c r="U246" i="1" s="1"/>
  <c r="U247" i="1" a="1"/>
  <c r="U247" i="1" s="1"/>
  <c r="U248" i="1" a="1"/>
  <c r="U248" i="1" s="1"/>
  <c r="U101" i="1" a="1"/>
  <c r="U101" i="1" s="1"/>
  <c r="U249" i="1" a="1"/>
  <c r="U249" i="1" s="1"/>
  <c r="U250" i="1" a="1"/>
  <c r="U250" i="1" s="1"/>
  <c r="U251" i="1" a="1"/>
  <c r="U251" i="1" s="1"/>
  <c r="U32" i="1" a="1"/>
  <c r="U32" i="1" s="1"/>
  <c r="U252" i="1" a="1"/>
  <c r="U252" i="1" s="1"/>
  <c r="U253" i="1" a="1"/>
  <c r="U253" i="1" s="1"/>
  <c r="U87" i="1" a="1"/>
  <c r="U87" i="1" s="1"/>
  <c r="U254" i="1" a="1"/>
  <c r="U254" i="1" s="1"/>
  <c r="U255" i="1" a="1"/>
  <c r="U255" i="1" s="1"/>
  <c r="U256" i="1" a="1"/>
  <c r="U256" i="1" s="1"/>
  <c r="U257" i="1" a="1"/>
  <c r="U257" i="1" s="1"/>
  <c r="U258" i="1" a="1"/>
  <c r="U258" i="1" s="1"/>
  <c r="U49" i="1" a="1"/>
  <c r="U49" i="1" s="1"/>
  <c r="U63" i="1" a="1"/>
  <c r="U63" i="1" s="1"/>
  <c r="U88" i="1" a="1"/>
  <c r="U88" i="1" s="1"/>
  <c r="U259" i="1" a="1"/>
  <c r="U259" i="1" s="1"/>
  <c r="U260" i="1" a="1"/>
  <c r="U260" i="1" s="1"/>
  <c r="U261" i="1" a="1"/>
  <c r="U261" i="1" s="1"/>
  <c r="U262" i="1" a="1"/>
  <c r="U262" i="1" s="1"/>
  <c r="U263" i="1" a="1"/>
  <c r="U263" i="1" s="1"/>
  <c r="U264" i="1" a="1"/>
  <c r="U264" i="1" s="1"/>
  <c r="U265" i="1" a="1"/>
  <c r="U265" i="1" s="1"/>
  <c r="U266" i="1" a="1"/>
  <c r="U266" i="1" s="1"/>
  <c r="U267" i="1" a="1"/>
  <c r="U267" i="1" s="1"/>
  <c r="U268" i="1" a="1"/>
  <c r="U268" i="1" s="1"/>
  <c r="U269" i="1" a="1"/>
  <c r="U269" i="1" s="1"/>
  <c r="U270" i="1" a="1"/>
  <c r="U270" i="1" s="1"/>
  <c r="U271" i="1" a="1"/>
  <c r="U271" i="1" s="1"/>
  <c r="U272" i="1" a="1"/>
  <c r="U272" i="1" s="1"/>
  <c r="U273" i="1" a="1"/>
  <c r="U273" i="1" s="1"/>
  <c r="U274" i="1" a="1"/>
  <c r="U274" i="1" s="1"/>
  <c r="U275" i="1" a="1"/>
  <c r="U275" i="1" s="1"/>
  <c r="U276" i="1" a="1"/>
  <c r="U276" i="1" s="1"/>
  <c r="U277" i="1" a="1"/>
  <c r="U277" i="1" s="1"/>
  <c r="U278" i="1" a="1"/>
  <c r="U278" i="1" s="1"/>
  <c r="U279" i="1" a="1"/>
  <c r="U279" i="1" s="1"/>
  <c r="U94" i="1" a="1"/>
  <c r="U94" i="1" s="1"/>
  <c r="U280" i="1" a="1"/>
  <c r="U280" i="1" s="1"/>
  <c r="U281" i="1" a="1"/>
  <c r="U281" i="1" s="1"/>
  <c r="U282" i="1" a="1"/>
  <c r="U282" i="1" s="1"/>
  <c r="U283" i="1" a="1"/>
  <c r="U283" i="1" s="1"/>
  <c r="U284" i="1" a="1"/>
  <c r="U284" i="1" s="1"/>
  <c r="U285" i="1" a="1"/>
  <c r="U285" i="1" s="1"/>
  <c r="U286" i="1" a="1"/>
  <c r="U286" i="1" s="1"/>
  <c r="U107" i="1" a="1"/>
  <c r="U107" i="1" s="1"/>
  <c r="U287" i="1" a="1"/>
  <c r="U287" i="1" s="1"/>
  <c r="U55" i="1" a="1"/>
  <c r="U55" i="1" s="1"/>
  <c r="U11" i="1" a="1"/>
  <c r="U11" i="1" s="1"/>
  <c r="U13" i="1" a="1"/>
  <c r="U13" i="1" s="1"/>
  <c r="U288" i="1" a="1"/>
  <c r="U288" i="1" s="1"/>
  <c r="U24" i="1" a="1"/>
  <c r="U24" i="1" s="1"/>
  <c r="U289" i="1" a="1"/>
  <c r="U289" i="1" s="1"/>
  <c r="U8" i="1" a="1"/>
  <c r="U8" i="1" s="1"/>
  <c r="U103" i="1" a="1"/>
  <c r="U103" i="1" s="1"/>
  <c r="U290" i="1" a="1"/>
  <c r="U290" i="1" s="1"/>
  <c r="U35" i="1" a="1"/>
  <c r="U35" i="1" s="1"/>
  <c r="U291" i="1" a="1"/>
  <c r="U291" i="1" s="1"/>
  <c r="U292" i="1" a="1"/>
  <c r="U292" i="1" s="1"/>
  <c r="U293" i="1" a="1"/>
  <c r="U293" i="1" s="1"/>
  <c r="U294" i="1" a="1"/>
  <c r="U294" i="1" s="1"/>
  <c r="U295" i="1" a="1"/>
  <c r="U295" i="1" s="1"/>
  <c r="U296" i="1" a="1"/>
  <c r="U296" i="1" s="1"/>
  <c r="U297" i="1" a="1"/>
  <c r="U297" i="1" s="1"/>
  <c r="U298" i="1" a="1"/>
  <c r="U298" i="1" s="1"/>
  <c r="U299" i="1" a="1"/>
  <c r="U299" i="1" s="1"/>
  <c r="U300" i="1" a="1"/>
  <c r="U300" i="1" s="1"/>
  <c r="U301" i="1" a="1"/>
  <c r="U301" i="1" s="1"/>
  <c r="U302" i="1" a="1"/>
  <c r="U302" i="1" s="1"/>
  <c r="U303" i="1" a="1"/>
  <c r="U303" i="1" s="1"/>
  <c r="U304" i="1" a="1"/>
  <c r="U304" i="1" s="1"/>
  <c r="U305" i="1" a="1"/>
  <c r="U305" i="1" s="1"/>
  <c r="U306" i="1" a="1"/>
  <c r="U306" i="1" s="1"/>
  <c r="U57" i="1" a="1"/>
  <c r="U57" i="1" s="1"/>
  <c r="U307" i="1" a="1"/>
  <c r="U307" i="1" s="1"/>
  <c r="U95" i="1" a="1"/>
  <c r="U95" i="1" s="1"/>
  <c r="U308" i="1" a="1"/>
  <c r="U308" i="1" s="1"/>
  <c r="U78" i="1" a="1"/>
  <c r="U78" i="1" s="1"/>
  <c r="U20" i="1" a="1"/>
  <c r="U20" i="1" s="1"/>
  <c r="U6" i="1" a="1"/>
  <c r="U6" i="1" s="1"/>
  <c r="U96" i="1" a="1"/>
  <c r="U96" i="1" s="1"/>
  <c r="U86" i="1" a="1"/>
  <c r="U86" i="1" s="1"/>
  <c r="U309" i="1" a="1"/>
  <c r="U309" i="1" s="1"/>
  <c r="U310" i="1" a="1"/>
  <c r="U310" i="1" s="1"/>
  <c r="U311" i="1" a="1"/>
  <c r="U311" i="1" s="1"/>
  <c r="U90" i="1" a="1"/>
  <c r="U90" i="1" s="1"/>
  <c r="U312" i="1" a="1"/>
  <c r="U312" i="1" s="1"/>
  <c r="U313" i="1" a="1"/>
  <c r="U313" i="1" s="1"/>
  <c r="U314" i="1" a="1"/>
  <c r="U314" i="1" s="1"/>
  <c r="U315" i="1" a="1"/>
  <c r="U315" i="1" s="1"/>
  <c r="U316" i="1" a="1"/>
  <c r="U316" i="1" s="1"/>
  <c r="U317" i="1" a="1"/>
  <c r="U317" i="1" s="1"/>
  <c r="U318" i="1" a="1"/>
  <c r="U318" i="1" s="1"/>
  <c r="U72" i="1" a="1"/>
  <c r="U72" i="1" s="1"/>
  <c r="U319" i="1" a="1"/>
  <c r="U319" i="1" s="1"/>
  <c r="U25" i="1" a="1"/>
  <c r="U25" i="1" s="1"/>
  <c r="U320" i="1" a="1"/>
  <c r="U320" i="1" s="1"/>
  <c r="U321" i="1" a="1"/>
  <c r="U321" i="1" s="1"/>
  <c r="U322" i="1" a="1"/>
  <c r="U322" i="1" s="1"/>
  <c r="U69" i="1" a="1"/>
  <c r="U69" i="1" s="1"/>
  <c r="U323" i="1" a="1"/>
  <c r="U323" i="1" s="1"/>
  <c r="U324" i="1" a="1"/>
  <c r="U324" i="1" s="1"/>
  <c r="U325" i="1" a="1"/>
  <c r="U325" i="1" s="1"/>
  <c r="U326" i="1" a="1"/>
  <c r="U326" i="1" s="1"/>
  <c r="U327" i="1" a="1"/>
  <c r="U327" i="1" s="1"/>
  <c r="U16" i="1" a="1"/>
  <c r="U16" i="1" s="1"/>
  <c r="U328" i="1" a="1"/>
  <c r="U328" i="1" s="1"/>
  <c r="U17" i="1" a="1"/>
  <c r="U17" i="1" s="1"/>
  <c r="U329" i="1" a="1"/>
  <c r="U329" i="1" s="1"/>
  <c r="U75" i="1" a="1"/>
  <c r="U75" i="1" s="1"/>
  <c r="U18" i="1" a="1"/>
  <c r="U18" i="1" s="1"/>
  <c r="U330" i="1" a="1"/>
  <c r="U330" i="1" s="1"/>
  <c r="U331" i="1" a="1"/>
  <c r="U331" i="1" s="1"/>
  <c r="U332" i="1" a="1"/>
  <c r="U332" i="1" s="1"/>
  <c r="U333" i="1" a="1"/>
  <c r="U333" i="1" s="1"/>
  <c r="U334" i="1" a="1"/>
  <c r="U334" i="1" s="1"/>
  <c r="U335" i="1" a="1"/>
  <c r="U335" i="1" s="1"/>
  <c r="U336" i="1" a="1"/>
  <c r="U336" i="1" s="1"/>
  <c r="U337" i="1" a="1"/>
  <c r="U337" i="1" s="1"/>
  <c r="U338" i="1" a="1"/>
  <c r="U338" i="1" s="1"/>
  <c r="U89" i="1" a="1"/>
  <c r="U89" i="1" s="1"/>
  <c r="U70" i="1" a="1"/>
  <c r="U70" i="1" s="1"/>
  <c r="U339" i="1" a="1"/>
  <c r="U339" i="1" s="1"/>
  <c r="U340" i="1" a="1"/>
  <c r="U340" i="1" s="1"/>
  <c r="U341" i="1" a="1"/>
  <c r="U341" i="1" s="1"/>
  <c r="U342" i="1" a="1"/>
  <c r="U342" i="1" s="1"/>
  <c r="U343" i="1" a="1"/>
  <c r="U343" i="1" s="1"/>
  <c r="U344" i="1" a="1"/>
  <c r="U344" i="1" s="1"/>
  <c r="U345" i="1" a="1"/>
  <c r="U345" i="1" s="1"/>
  <c r="U346" i="1" a="1"/>
  <c r="U346" i="1" s="1"/>
  <c r="U347" i="1" a="1"/>
  <c r="U347" i="1" s="1"/>
  <c r="U348" i="1" a="1"/>
  <c r="U348" i="1" s="1"/>
  <c r="U349" i="1" a="1"/>
  <c r="U349" i="1" s="1"/>
  <c r="U350" i="1" a="1"/>
  <c r="U350" i="1" s="1"/>
  <c r="U351" i="1" a="1"/>
  <c r="U351" i="1" s="1"/>
  <c r="U352" i="1" a="1"/>
  <c r="U352" i="1" s="1"/>
  <c r="U353" i="1" a="1"/>
  <c r="U353" i="1" s="1"/>
  <c r="U354" i="1" a="1"/>
  <c r="U354" i="1" s="1"/>
  <c r="U48" i="1" a="1"/>
  <c r="U48" i="1" s="1"/>
  <c r="U355" i="1" a="1"/>
  <c r="U355" i="1" s="1"/>
  <c r="U356" i="1" a="1"/>
  <c r="U356" i="1" s="1"/>
  <c r="U14" i="1" a="1"/>
  <c r="U14" i="1" s="1"/>
  <c r="U65" i="1" a="1"/>
  <c r="U65" i="1" s="1"/>
  <c r="U357" i="1" a="1"/>
  <c r="U357" i="1" s="1"/>
  <c r="U358" i="1" a="1"/>
  <c r="U358" i="1" s="1"/>
  <c r="U47" i="1" a="1"/>
  <c r="U47" i="1" s="1"/>
  <c r="U359" i="1" a="1"/>
  <c r="U359" i="1" s="1"/>
  <c r="U80" i="1" a="1"/>
  <c r="U80" i="1" s="1"/>
  <c r="U21" i="1" a="1"/>
  <c r="U21" i="1" s="1"/>
  <c r="U85" i="1" a="1"/>
  <c r="U85" i="1" s="1"/>
  <c r="U360" i="1" a="1"/>
  <c r="U360" i="1" s="1"/>
  <c r="U361" i="1" a="1"/>
  <c r="U361" i="1" s="1"/>
  <c r="U362" i="1" a="1"/>
  <c r="U362" i="1" s="1"/>
  <c r="U363" i="1" a="1"/>
  <c r="U363" i="1" s="1"/>
  <c r="U364" i="1" a="1"/>
  <c r="U364" i="1" s="1"/>
  <c r="U365" i="1" a="1"/>
  <c r="U365" i="1" s="1"/>
  <c r="U366" i="1" a="1"/>
  <c r="U366" i="1" s="1"/>
  <c r="U367" i="1" a="1"/>
  <c r="U367" i="1" s="1"/>
  <c r="U368" i="1" a="1"/>
  <c r="U368" i="1" s="1"/>
  <c r="U77" i="1" a="1"/>
  <c r="U77" i="1" s="1"/>
  <c r="U369" i="1" a="1"/>
  <c r="U369" i="1" s="1"/>
  <c r="U60" i="1" a="1"/>
  <c r="U60" i="1" s="1"/>
  <c r="U83" i="1" a="1"/>
  <c r="U83" i="1" s="1"/>
  <c r="U108" i="1" a="1"/>
  <c r="U108" i="1" s="1"/>
  <c r="U370" i="1" a="1"/>
  <c r="U370" i="1" s="1"/>
  <c r="U371" i="1" a="1"/>
  <c r="U371" i="1" s="1"/>
  <c r="U372" i="1" a="1"/>
  <c r="U372" i="1" s="1"/>
  <c r="U373" i="1" a="1"/>
  <c r="U373" i="1" s="1"/>
  <c r="U374" i="1" a="1"/>
  <c r="U374" i="1" s="1"/>
  <c r="U375" i="1" a="1"/>
  <c r="U375" i="1" s="1"/>
  <c r="U376" i="1" a="1"/>
  <c r="U376" i="1" s="1"/>
  <c r="U377" i="1" a="1"/>
  <c r="U377" i="1" s="1"/>
  <c r="U378" i="1" a="1"/>
  <c r="U378" i="1" s="1"/>
  <c r="U379" i="1" a="1"/>
  <c r="U379" i="1" s="1"/>
  <c r="U380" i="1" a="1"/>
  <c r="U380" i="1" s="1"/>
  <c r="U381" i="1" a="1"/>
  <c r="U381" i="1" s="1"/>
  <c r="U51" i="1" a="1"/>
  <c r="U51" i="1" s="1"/>
  <c r="U382" i="1" a="1"/>
  <c r="U382" i="1" s="1"/>
  <c r="U383" i="1" a="1"/>
  <c r="U383" i="1" s="1"/>
  <c r="U105" i="1" a="1"/>
  <c r="U105" i="1" s="1"/>
  <c r="U384" i="1" a="1"/>
  <c r="U384" i="1" s="1"/>
  <c r="U385" i="1" a="1"/>
  <c r="U385" i="1" s="1"/>
  <c r="U386" i="1" a="1"/>
  <c r="U386" i="1" s="1"/>
  <c r="U387" i="1" a="1"/>
  <c r="U387" i="1" s="1"/>
  <c r="U388" i="1" a="1"/>
  <c r="U388" i="1" s="1"/>
  <c r="U389" i="1" a="1"/>
  <c r="U389" i="1" s="1"/>
  <c r="U390" i="1" a="1"/>
  <c r="U390" i="1" s="1"/>
  <c r="U391" i="1" a="1"/>
  <c r="U391" i="1" s="1"/>
  <c r="U392" i="1" a="1"/>
  <c r="U392" i="1" s="1"/>
  <c r="U393" i="1" a="1"/>
  <c r="U393" i="1" s="1"/>
  <c r="U394" i="1" a="1"/>
  <c r="U394" i="1" s="1"/>
  <c r="U395" i="1" a="1"/>
  <c r="U395" i="1" s="1"/>
  <c r="U396" i="1" a="1"/>
  <c r="U396" i="1" s="1"/>
  <c r="U397" i="1" a="1"/>
  <c r="U397" i="1" s="1"/>
  <c r="U398" i="1" a="1"/>
  <c r="U398" i="1" s="1"/>
  <c r="U399" i="1" a="1"/>
  <c r="U399" i="1" s="1"/>
  <c r="U400" i="1" a="1"/>
  <c r="U400" i="1" s="1"/>
  <c r="U401" i="1" a="1"/>
  <c r="U401" i="1" s="1"/>
  <c r="U402" i="1" a="1"/>
  <c r="U402" i="1" s="1"/>
  <c r="U403" i="1" a="1"/>
  <c r="U403" i="1" s="1"/>
  <c r="U404" i="1" a="1"/>
  <c r="U404" i="1" s="1"/>
  <c r="U405" i="1" a="1"/>
  <c r="U405" i="1" s="1"/>
  <c r="U406" i="1" a="1"/>
  <c r="U406" i="1" s="1"/>
  <c r="U407" i="1" a="1"/>
  <c r="U407" i="1" s="1"/>
  <c r="U408" i="1" a="1"/>
  <c r="U408" i="1" s="1"/>
  <c r="U58" i="1" a="1"/>
  <c r="U58" i="1" s="1"/>
  <c r="U410" i="1" a="1"/>
  <c r="U410" i="1" s="1"/>
  <c r="U411" i="1" a="1"/>
  <c r="U411" i="1" s="1"/>
  <c r="U412" i="1" a="1"/>
  <c r="U412" i="1" s="1"/>
  <c r="U31" i="1" a="1"/>
  <c r="U31" i="1" s="1"/>
  <c r="U36" i="1" a="1"/>
  <c r="U36" i="1" s="1"/>
  <c r="U19" i="1" a="1"/>
  <c r="U19" i="1" s="1"/>
  <c r="U79" i="1" a="1"/>
  <c r="U79" i="1" s="1"/>
  <c r="U413" i="1" a="1"/>
  <c r="U413" i="1" s="1"/>
  <c r="U38" i="1" a="1"/>
  <c r="U38" i="1" s="1"/>
  <c r="U46" i="1" a="1"/>
  <c r="U46" i="1" s="1"/>
  <c r="U4" i="1" a="1"/>
  <c r="U4" i="1" s="1"/>
  <c r="U414" i="1" a="1"/>
  <c r="U414" i="1" s="1"/>
  <c r="U415" i="1" a="1"/>
  <c r="U415" i="1" s="1"/>
  <c r="U66" i="1" a="1"/>
  <c r="U66" i="1" s="1"/>
  <c r="U50" i="1" a="1"/>
  <c r="U50" i="1" s="1"/>
  <c r="U416" i="1" a="1"/>
  <c r="U416" i="1" s="1"/>
  <c r="U417" i="1" a="1"/>
  <c r="U417" i="1" s="1"/>
  <c r="U54" i="1" a="1"/>
  <c r="U54" i="1" s="1"/>
  <c r="U23" i="1" a="1"/>
  <c r="U23" i="1" s="1"/>
  <c r="U418" i="1" a="1"/>
  <c r="U418" i="1" s="1"/>
  <c r="U419" i="1" a="1"/>
  <c r="U419" i="1" s="1"/>
  <c r="U93" i="1" a="1"/>
  <c r="U93" i="1" s="1"/>
  <c r="U420" i="1" a="1"/>
  <c r="U420" i="1" s="1"/>
  <c r="U104" i="1" a="1"/>
  <c r="U104" i="1" s="1"/>
  <c r="U421" i="1" a="1"/>
  <c r="U421" i="1" s="1"/>
  <c r="U422" i="1" a="1"/>
  <c r="U422" i="1" s="1"/>
  <c r="U423" i="1" a="1"/>
  <c r="U423" i="1" s="1"/>
  <c r="U424" i="1" a="1"/>
  <c r="U424" i="1" s="1"/>
  <c r="U425" i="1" a="1"/>
  <c r="U425" i="1" s="1"/>
  <c r="U10" i="1" a="1"/>
  <c r="U10" i="1" s="1"/>
  <c r="U426" i="1" a="1"/>
  <c r="U426" i="1" s="1"/>
  <c r="U427" i="1" a="1"/>
  <c r="U427" i="1" s="1"/>
  <c r="U428" i="1" a="1"/>
  <c r="U428" i="1" s="1"/>
  <c r="U81" i="1" a="1"/>
  <c r="U81" i="1" s="1"/>
  <c r="U41" i="1" a="1"/>
  <c r="U41" i="1" s="1"/>
  <c r="U39" i="1" a="1"/>
  <c r="U39" i="1" s="1"/>
  <c r="U429" i="1" a="1"/>
  <c r="U429" i="1" s="1"/>
  <c r="U12" i="1" a="1"/>
  <c r="U12" i="1" s="1"/>
  <c r="U430" i="1" a="1"/>
  <c r="U430" i="1" s="1"/>
  <c r="G109" i="1"/>
  <c r="X110" i="1" a="1"/>
  <c r="X110" i="1" s="1"/>
  <c r="X111" i="1" a="1"/>
  <c r="X111" i="1" s="1"/>
  <c r="X112" i="1" a="1"/>
  <c r="X112" i="1" s="1"/>
  <c r="X113" i="1" a="1"/>
  <c r="X113" i="1" s="1"/>
  <c r="X114" i="1" a="1"/>
  <c r="X114" i="1" s="1"/>
  <c r="X98" i="1" a="1"/>
  <c r="X98" i="1" s="1"/>
  <c r="X91" i="1" a="1"/>
  <c r="X91" i="1" s="1"/>
  <c r="X115" i="1" a="1"/>
  <c r="X115" i="1" s="1"/>
  <c r="X28" i="1" a="1"/>
  <c r="X28" i="1" s="1"/>
  <c r="X116" i="1" a="1"/>
  <c r="X116" i="1" s="1"/>
  <c r="X117" i="1" a="1"/>
  <c r="X117" i="1" s="1"/>
  <c r="X118" i="1" a="1"/>
  <c r="X118" i="1" s="1"/>
  <c r="X119" i="1" a="1"/>
  <c r="X119" i="1" s="1"/>
  <c r="X120" i="1" a="1"/>
  <c r="X120" i="1" s="1"/>
  <c r="X102" i="1" a="1"/>
  <c r="X102" i="1" s="1"/>
  <c r="X121" i="1" a="1"/>
  <c r="X121" i="1" s="1"/>
  <c r="X122" i="1" a="1"/>
  <c r="X122" i="1" s="1"/>
  <c r="X123" i="1" a="1"/>
  <c r="X123" i="1" s="1"/>
  <c r="X124" i="1" a="1"/>
  <c r="X124" i="1" s="1"/>
  <c r="X125" i="1" a="1"/>
  <c r="X125" i="1" s="1"/>
  <c r="X126" i="1" a="1"/>
  <c r="X126" i="1" s="1"/>
  <c r="X99" i="1" a="1"/>
  <c r="X99" i="1" s="1"/>
  <c r="X127" i="1" a="1"/>
  <c r="X127" i="1" s="1"/>
  <c r="X128" i="1" a="1"/>
  <c r="X128" i="1" s="1"/>
  <c r="X26" i="1" a="1"/>
  <c r="X26" i="1" s="1"/>
  <c r="X129" i="1" a="1"/>
  <c r="X129" i="1" s="1"/>
  <c r="X52" i="1" a="1"/>
  <c r="X52" i="1" s="1"/>
  <c r="X130" i="1" a="1"/>
  <c r="X130" i="1" s="1"/>
  <c r="X131" i="1" a="1"/>
  <c r="X131" i="1" s="1"/>
  <c r="X132" i="1" a="1"/>
  <c r="X132" i="1" s="1"/>
  <c r="X133" i="1" a="1"/>
  <c r="X133" i="1" s="1"/>
  <c r="X134" i="1" a="1"/>
  <c r="X134" i="1" s="1"/>
  <c r="X135" i="1" a="1"/>
  <c r="X135" i="1" s="1"/>
  <c r="X136" i="1" a="1"/>
  <c r="X136" i="1" s="1"/>
  <c r="X137" i="1" a="1"/>
  <c r="X137" i="1" s="1"/>
  <c r="X138" i="1" a="1"/>
  <c r="X138" i="1" s="1"/>
  <c r="X139" i="1" a="1"/>
  <c r="X139" i="1" s="1"/>
  <c r="X140" i="1" a="1"/>
  <c r="X140" i="1" s="1"/>
  <c r="X141" i="1" a="1"/>
  <c r="X141" i="1" s="1"/>
  <c r="X142" i="1" a="1"/>
  <c r="X142" i="1" s="1"/>
  <c r="X143" i="1" a="1"/>
  <c r="X143" i="1" s="1"/>
  <c r="X144" i="1" a="1"/>
  <c r="X144" i="1" s="1"/>
  <c r="X145" i="1" a="1"/>
  <c r="X145" i="1" s="1"/>
  <c r="X146" i="1" a="1"/>
  <c r="X146" i="1" s="1"/>
  <c r="X147" i="1" a="1"/>
  <c r="X147" i="1" s="1"/>
  <c r="X148" i="1" a="1"/>
  <c r="X148" i="1" s="1"/>
  <c r="X149" i="1" a="1"/>
  <c r="X149" i="1" s="1"/>
  <c r="X150" i="1" a="1"/>
  <c r="X150" i="1" s="1"/>
  <c r="X151" i="1" a="1"/>
  <c r="X151" i="1" s="1"/>
  <c r="X152" i="1" a="1"/>
  <c r="X152" i="1" s="1"/>
  <c r="X153" i="1" a="1"/>
  <c r="X153" i="1" s="1"/>
  <c r="X154" i="1" a="1"/>
  <c r="X154" i="1" s="1"/>
  <c r="X155" i="1" a="1"/>
  <c r="X155" i="1" s="1"/>
  <c r="X156" i="1" a="1"/>
  <c r="X156" i="1" s="1"/>
  <c r="X45" i="1" a="1"/>
  <c r="X45" i="1" s="1"/>
  <c r="X157" i="1" a="1"/>
  <c r="X157" i="1" s="1"/>
  <c r="X158" i="1" a="1"/>
  <c r="X158" i="1" s="1"/>
  <c r="X159" i="1" a="1"/>
  <c r="X159" i="1" s="1"/>
  <c r="X160" i="1" a="1"/>
  <c r="X160" i="1" s="1"/>
  <c r="X161" i="1" a="1"/>
  <c r="X161" i="1" s="1"/>
  <c r="X162" i="1" a="1"/>
  <c r="X162" i="1" s="1"/>
  <c r="X163" i="1" a="1"/>
  <c r="X163" i="1" s="1"/>
  <c r="X164" i="1" a="1"/>
  <c r="X164" i="1" s="1"/>
  <c r="X165" i="1" a="1"/>
  <c r="X165" i="1" s="1"/>
  <c r="X166" i="1" a="1"/>
  <c r="X166" i="1" s="1"/>
  <c r="X167" i="1" a="1"/>
  <c r="X167" i="1" s="1"/>
  <c r="X168" i="1" a="1"/>
  <c r="X168" i="1" s="1"/>
  <c r="X169" i="1" a="1"/>
  <c r="X169" i="1" s="1"/>
  <c r="X97" i="1" a="1"/>
  <c r="X97" i="1" s="1"/>
  <c r="X170" i="1" a="1"/>
  <c r="X170" i="1" s="1"/>
  <c r="X171" i="1" a="1"/>
  <c r="X171" i="1" s="1"/>
  <c r="X172" i="1" a="1"/>
  <c r="X172" i="1" s="1"/>
  <c r="X27" i="1" a="1"/>
  <c r="X27" i="1" s="1"/>
  <c r="X173" i="1" a="1"/>
  <c r="X173" i="1" s="1"/>
  <c r="X33" i="1" a="1"/>
  <c r="X33" i="1" s="1"/>
  <c r="X174" i="1" a="1"/>
  <c r="X174" i="1" s="1"/>
  <c r="X175" i="1" a="1"/>
  <c r="X175" i="1" s="1"/>
  <c r="X176" i="1" a="1"/>
  <c r="X176" i="1" s="1"/>
  <c r="X177" i="1" a="1"/>
  <c r="X177" i="1" s="1"/>
  <c r="X82" i="1" a="1"/>
  <c r="X82" i="1" s="1"/>
  <c r="X74" i="1" a="1"/>
  <c r="X74" i="1" s="1"/>
  <c r="X178" i="1" a="1"/>
  <c r="X178" i="1" s="1"/>
  <c r="X179" i="1" a="1"/>
  <c r="X179" i="1" s="1"/>
  <c r="X180" i="1" a="1"/>
  <c r="X180" i="1" s="1"/>
  <c r="X181" i="1" a="1"/>
  <c r="X181" i="1" s="1"/>
  <c r="X182" i="1" a="1"/>
  <c r="X182" i="1" s="1"/>
  <c r="X183" i="1" a="1"/>
  <c r="X183" i="1" s="1"/>
  <c r="X184" i="1" a="1"/>
  <c r="X184" i="1" s="1"/>
  <c r="X5" i="1" a="1"/>
  <c r="X5" i="1" s="1"/>
  <c r="X185" i="1" a="1"/>
  <c r="X185" i="1" s="1"/>
  <c r="X186" i="1" a="1"/>
  <c r="X186" i="1" s="1"/>
  <c r="X42" i="1" a="1"/>
  <c r="X42" i="1" s="1"/>
  <c r="X187" i="1" a="1"/>
  <c r="X187" i="1" s="1"/>
  <c r="X29" i="1" a="1"/>
  <c r="X29" i="1" s="1"/>
  <c r="X53" i="1" a="1"/>
  <c r="X53" i="1" s="1"/>
  <c r="X188" i="1" a="1"/>
  <c r="X188" i="1" s="1"/>
  <c r="X189" i="1" a="1"/>
  <c r="X189" i="1" s="1"/>
  <c r="X15" i="1" a="1"/>
  <c r="X15" i="1" s="1"/>
  <c r="X190" i="1" a="1"/>
  <c r="X190" i="1" s="1"/>
  <c r="X191" i="1" a="1"/>
  <c r="X191" i="1" s="1"/>
  <c r="X192" i="1" a="1"/>
  <c r="X192" i="1" s="1"/>
  <c r="X193" i="1" a="1"/>
  <c r="X193" i="1" s="1"/>
  <c r="X194" i="1" a="1"/>
  <c r="X194" i="1" s="1"/>
  <c r="X195" i="1" a="1"/>
  <c r="X195" i="1" s="1"/>
  <c r="X196" i="1" a="1"/>
  <c r="X196" i="1" s="1"/>
  <c r="X73" i="1" a="1"/>
  <c r="X73" i="1" s="1"/>
  <c r="X76" i="1" a="1"/>
  <c r="X76" i="1" s="1"/>
  <c r="X197" i="1" a="1"/>
  <c r="X197" i="1" s="1"/>
  <c r="X198" i="1" a="1"/>
  <c r="X198" i="1" s="1"/>
  <c r="X92" i="1" a="1"/>
  <c r="X92" i="1" s="1"/>
  <c r="X64" i="1" a="1"/>
  <c r="X64" i="1" s="1"/>
  <c r="X22" i="1" a="1"/>
  <c r="X22" i="1" s="1"/>
  <c r="X199" i="1" a="1"/>
  <c r="X199" i="1" s="1"/>
  <c r="X200" i="1" a="1"/>
  <c r="X200" i="1" s="1"/>
  <c r="X201" i="1" a="1"/>
  <c r="X201" i="1" s="1"/>
  <c r="X202" i="1" a="1"/>
  <c r="X202" i="1" s="1"/>
  <c r="X203" i="1" a="1"/>
  <c r="X203" i="1" s="1"/>
  <c r="X204" i="1" a="1"/>
  <c r="X204" i="1" s="1"/>
  <c r="X205" i="1" a="1"/>
  <c r="X205" i="1" s="1"/>
  <c r="X206" i="1" a="1"/>
  <c r="X206" i="1" s="1"/>
  <c r="X207" i="1" a="1"/>
  <c r="X207" i="1" s="1"/>
  <c r="X208" i="1" a="1"/>
  <c r="X208" i="1" s="1"/>
  <c r="X209" i="1" a="1"/>
  <c r="X209" i="1" s="1"/>
  <c r="X210" i="1" a="1"/>
  <c r="X210" i="1" s="1"/>
  <c r="X7" i="1" a="1"/>
  <c r="X7" i="1" s="1"/>
  <c r="X211" i="1" a="1"/>
  <c r="X211" i="1" s="1"/>
  <c r="X212" i="1" a="1"/>
  <c r="X212" i="1" s="1"/>
  <c r="X213" i="1" a="1"/>
  <c r="X213" i="1" s="1"/>
  <c r="X214" i="1" a="1"/>
  <c r="X214" i="1" s="1"/>
  <c r="X215" i="1" a="1"/>
  <c r="X215" i="1" s="1"/>
  <c r="X216" i="1" a="1"/>
  <c r="X216" i="1" s="1"/>
  <c r="X217" i="1" a="1"/>
  <c r="X217" i="1" s="1"/>
  <c r="X218" i="1" a="1"/>
  <c r="X218" i="1" s="1"/>
  <c r="X219" i="1" a="1"/>
  <c r="X219" i="1" s="1"/>
  <c r="X9" i="1" a="1"/>
  <c r="X9" i="1" s="1"/>
  <c r="X220" i="1" a="1"/>
  <c r="X220" i="1" s="1"/>
  <c r="X221" i="1" a="1"/>
  <c r="X221" i="1" s="1"/>
  <c r="X222" i="1" a="1"/>
  <c r="X222" i="1" s="1"/>
  <c r="X223" i="1" a="1"/>
  <c r="X223" i="1" s="1"/>
  <c r="X224" i="1" a="1"/>
  <c r="X224" i="1" s="1"/>
  <c r="X225" i="1" a="1"/>
  <c r="X225" i="1" s="1"/>
  <c r="X226" i="1" a="1"/>
  <c r="X226" i="1" s="1"/>
  <c r="X227" i="1" a="1"/>
  <c r="X227" i="1" s="1"/>
  <c r="X228" i="1" a="1"/>
  <c r="X228" i="1" s="1"/>
  <c r="X229" i="1" a="1"/>
  <c r="X229" i="1" s="1"/>
  <c r="X71" i="1" a="1"/>
  <c r="X71" i="1" s="1"/>
  <c r="X34" i="1" a="1"/>
  <c r="X34" i="1" s="1"/>
  <c r="X230" i="1" a="1"/>
  <c r="X230" i="1" s="1"/>
  <c r="X231" i="1" a="1"/>
  <c r="X231" i="1" s="1"/>
  <c r="X59" i="1" a="1"/>
  <c r="X59" i="1" s="1"/>
  <c r="X232" i="1" a="1"/>
  <c r="X232" i="1" s="1"/>
  <c r="X233" i="1" a="1"/>
  <c r="X233" i="1" s="1"/>
  <c r="X234" i="1" a="1"/>
  <c r="X234" i="1" s="1"/>
  <c r="X84" i="1" a="1"/>
  <c r="X84" i="1" s="1"/>
  <c r="X61" i="1" a="1"/>
  <c r="X61" i="1" s="1"/>
  <c r="X62" i="1" a="1"/>
  <c r="X62" i="1" s="1"/>
  <c r="X235" i="1" a="1"/>
  <c r="X235" i="1" s="1"/>
  <c r="X56" i="1" a="1"/>
  <c r="X56" i="1" s="1"/>
  <c r="X236" i="1" a="1"/>
  <c r="X236" i="1" s="1"/>
  <c r="X237" i="1" a="1"/>
  <c r="X237" i="1" s="1"/>
  <c r="X238" i="1" a="1"/>
  <c r="X238" i="1" s="1"/>
  <c r="X239" i="1" a="1"/>
  <c r="X239" i="1" s="1"/>
  <c r="X240" i="1" a="1"/>
  <c r="X240" i="1" s="1"/>
  <c r="X241" i="1" a="1"/>
  <c r="X241" i="1" s="1"/>
  <c r="X242" i="1" a="1"/>
  <c r="X242" i="1" s="1"/>
  <c r="X40" i="1" a="1"/>
  <c r="X40" i="1" s="1"/>
  <c r="X243" i="1" a="1"/>
  <c r="X243" i="1" s="1"/>
  <c r="X244" i="1" a="1"/>
  <c r="X244" i="1" s="1"/>
  <c r="X245" i="1" a="1"/>
  <c r="X245" i="1" s="1"/>
  <c r="X43" i="1" a="1"/>
  <c r="X43" i="1" s="1"/>
  <c r="X67" i="1" a="1"/>
  <c r="X67" i="1" s="1"/>
  <c r="X246" i="1" a="1"/>
  <c r="X246" i="1" s="1"/>
  <c r="X247" i="1" a="1"/>
  <c r="X247" i="1" s="1"/>
  <c r="X248" i="1" a="1"/>
  <c r="X248" i="1" s="1"/>
  <c r="X101" i="1" a="1"/>
  <c r="X101" i="1" s="1"/>
  <c r="X249" i="1" a="1"/>
  <c r="X249" i="1" s="1"/>
  <c r="X250" i="1" a="1"/>
  <c r="X250" i="1" s="1"/>
  <c r="X251" i="1" a="1"/>
  <c r="X251" i="1" s="1"/>
  <c r="X32" i="1" a="1"/>
  <c r="X32" i="1" s="1"/>
  <c r="X252" i="1" a="1"/>
  <c r="X252" i="1" s="1"/>
  <c r="X253" i="1" a="1"/>
  <c r="X253" i="1" s="1"/>
  <c r="X87" i="1" a="1"/>
  <c r="X87" i="1" s="1"/>
  <c r="X254" i="1" a="1"/>
  <c r="X254" i="1" s="1"/>
  <c r="X255" i="1" a="1"/>
  <c r="X255" i="1" s="1"/>
  <c r="X256" i="1" a="1"/>
  <c r="X256" i="1" s="1"/>
  <c r="X257" i="1" a="1"/>
  <c r="X257" i="1" s="1"/>
  <c r="X258" i="1" a="1"/>
  <c r="X258" i="1" s="1"/>
  <c r="X49" i="1" a="1"/>
  <c r="X49" i="1" s="1"/>
  <c r="X63" i="1" a="1"/>
  <c r="X63" i="1" s="1"/>
  <c r="X88" i="1" a="1"/>
  <c r="X88" i="1" s="1"/>
  <c r="X259" i="1" a="1"/>
  <c r="X259" i="1" s="1"/>
  <c r="X260" i="1" a="1"/>
  <c r="X260" i="1" s="1"/>
  <c r="X261" i="1" a="1"/>
  <c r="X261" i="1" s="1"/>
  <c r="X262" i="1" a="1"/>
  <c r="X262" i="1" s="1"/>
  <c r="X263" i="1" a="1"/>
  <c r="X263" i="1" s="1"/>
  <c r="X264" i="1" a="1"/>
  <c r="X264" i="1" s="1"/>
  <c r="X265" i="1" a="1"/>
  <c r="X265" i="1" s="1"/>
  <c r="X266" i="1" a="1"/>
  <c r="X266" i="1" s="1"/>
  <c r="X267" i="1" a="1"/>
  <c r="X267" i="1" s="1"/>
  <c r="X268" i="1" a="1"/>
  <c r="X268" i="1" s="1"/>
  <c r="X269" i="1" a="1"/>
  <c r="X269" i="1" s="1"/>
  <c r="X270" i="1" a="1"/>
  <c r="X270" i="1" s="1"/>
  <c r="X271" i="1" a="1"/>
  <c r="X271" i="1" s="1"/>
  <c r="X272" i="1" a="1"/>
  <c r="X272" i="1" s="1"/>
  <c r="X273" i="1" a="1"/>
  <c r="X273" i="1" s="1"/>
  <c r="X274" i="1" a="1"/>
  <c r="X274" i="1" s="1"/>
  <c r="X275" i="1" a="1"/>
  <c r="X275" i="1" s="1"/>
  <c r="X276" i="1" a="1"/>
  <c r="X276" i="1" s="1"/>
  <c r="X277" i="1" a="1"/>
  <c r="X277" i="1" s="1"/>
  <c r="X278" i="1" a="1"/>
  <c r="X278" i="1" s="1"/>
  <c r="X279" i="1" a="1"/>
  <c r="X279" i="1" s="1"/>
  <c r="X94" i="1" a="1"/>
  <c r="X94" i="1" s="1"/>
  <c r="X280" i="1" a="1"/>
  <c r="X280" i="1" s="1"/>
  <c r="X281" i="1" a="1"/>
  <c r="X281" i="1" s="1"/>
  <c r="X282" i="1" a="1"/>
  <c r="X282" i="1" s="1"/>
  <c r="X283" i="1" a="1"/>
  <c r="X283" i="1" s="1"/>
  <c r="X284" i="1" a="1"/>
  <c r="X284" i="1" s="1"/>
  <c r="X285" i="1" a="1"/>
  <c r="X285" i="1" s="1"/>
  <c r="X286" i="1" a="1"/>
  <c r="X286" i="1" s="1"/>
  <c r="X107" i="1" a="1"/>
  <c r="X107" i="1" s="1"/>
  <c r="X287" i="1" a="1"/>
  <c r="X287" i="1" s="1"/>
  <c r="X55" i="1" a="1"/>
  <c r="X55" i="1" s="1"/>
  <c r="X11" i="1" a="1"/>
  <c r="X11" i="1" s="1"/>
  <c r="X13" i="1" a="1"/>
  <c r="X13" i="1" s="1"/>
  <c r="X288" i="1" a="1"/>
  <c r="X288" i="1" s="1"/>
  <c r="X24" i="1" a="1"/>
  <c r="X24" i="1" s="1"/>
  <c r="X289" i="1" a="1"/>
  <c r="X289" i="1" s="1"/>
  <c r="X8" i="1" a="1"/>
  <c r="X8" i="1" s="1"/>
  <c r="X103" i="1" a="1"/>
  <c r="X103" i="1" s="1"/>
  <c r="X290" i="1" a="1"/>
  <c r="X290" i="1" s="1"/>
  <c r="X35" i="1" a="1"/>
  <c r="X35" i="1" s="1"/>
  <c r="X291" i="1" a="1"/>
  <c r="X291" i="1" s="1"/>
  <c r="X292" i="1" a="1"/>
  <c r="X292" i="1" s="1"/>
  <c r="X293" i="1" a="1"/>
  <c r="X293" i="1" s="1"/>
  <c r="X294" i="1" a="1"/>
  <c r="X294" i="1" s="1"/>
  <c r="X295" i="1" a="1"/>
  <c r="X295" i="1" s="1"/>
  <c r="X296" i="1" a="1"/>
  <c r="X296" i="1" s="1"/>
  <c r="X297" i="1" a="1"/>
  <c r="X297" i="1" s="1"/>
  <c r="X298" i="1" a="1"/>
  <c r="X298" i="1" s="1"/>
  <c r="X299" i="1" a="1"/>
  <c r="X299" i="1" s="1"/>
  <c r="X300" i="1" a="1"/>
  <c r="X300" i="1" s="1"/>
  <c r="X301" i="1" a="1"/>
  <c r="X301" i="1" s="1"/>
  <c r="X302" i="1" a="1"/>
  <c r="X302" i="1" s="1"/>
  <c r="X303" i="1" a="1"/>
  <c r="X303" i="1" s="1"/>
  <c r="X304" i="1" a="1"/>
  <c r="X304" i="1" s="1"/>
  <c r="X305" i="1" a="1"/>
  <c r="X305" i="1" s="1"/>
  <c r="X306" i="1" a="1"/>
  <c r="X306" i="1" s="1"/>
  <c r="X57" i="1" a="1"/>
  <c r="X57" i="1" s="1"/>
  <c r="X307" i="1" a="1"/>
  <c r="X307" i="1" s="1"/>
  <c r="X95" i="1" a="1"/>
  <c r="X95" i="1" s="1"/>
  <c r="X308" i="1" a="1"/>
  <c r="X308" i="1" s="1"/>
  <c r="X78" i="1" a="1"/>
  <c r="X78" i="1" s="1"/>
  <c r="X20" i="1" a="1"/>
  <c r="X20" i="1" s="1"/>
  <c r="X6" i="1" a="1"/>
  <c r="X6" i="1" s="1"/>
  <c r="X96" i="1" a="1"/>
  <c r="X96" i="1" s="1"/>
  <c r="X86" i="1" a="1"/>
  <c r="X86" i="1" s="1"/>
  <c r="X309" i="1" a="1"/>
  <c r="X309" i="1" s="1"/>
  <c r="X310" i="1" a="1"/>
  <c r="X310" i="1" s="1"/>
  <c r="X311" i="1" a="1"/>
  <c r="X311" i="1" s="1"/>
  <c r="X90" i="1" a="1"/>
  <c r="X90" i="1" s="1"/>
  <c r="X312" i="1" a="1"/>
  <c r="X312" i="1" s="1"/>
  <c r="X313" i="1" a="1"/>
  <c r="X313" i="1" s="1"/>
  <c r="X314" i="1" a="1"/>
  <c r="X314" i="1" s="1"/>
  <c r="X315" i="1" a="1"/>
  <c r="X315" i="1" s="1"/>
  <c r="X316" i="1" a="1"/>
  <c r="X316" i="1" s="1"/>
  <c r="X317" i="1" a="1"/>
  <c r="X317" i="1" s="1"/>
  <c r="X318" i="1" a="1"/>
  <c r="X318" i="1" s="1"/>
  <c r="X72" i="1" a="1"/>
  <c r="X72" i="1" s="1"/>
  <c r="X319" i="1" a="1"/>
  <c r="X319" i="1" s="1"/>
  <c r="X25" i="1" a="1"/>
  <c r="X25" i="1" s="1"/>
  <c r="X320" i="1" a="1"/>
  <c r="X320" i="1" s="1"/>
  <c r="X321" i="1" a="1"/>
  <c r="X321" i="1" s="1"/>
  <c r="X322" i="1" a="1"/>
  <c r="X322" i="1" s="1"/>
  <c r="X69" i="1" a="1"/>
  <c r="X69" i="1" s="1"/>
  <c r="X323" i="1" a="1"/>
  <c r="X323" i="1" s="1"/>
  <c r="X324" i="1" a="1"/>
  <c r="X324" i="1" s="1"/>
  <c r="X325" i="1" a="1"/>
  <c r="X325" i="1" s="1"/>
  <c r="X326" i="1" a="1"/>
  <c r="X326" i="1" s="1"/>
  <c r="X327" i="1" a="1"/>
  <c r="X327" i="1" s="1"/>
  <c r="X16" i="1" a="1"/>
  <c r="X16" i="1" s="1"/>
  <c r="X328" i="1" a="1"/>
  <c r="X328" i="1" s="1"/>
  <c r="X17" i="1" a="1"/>
  <c r="X17" i="1" s="1"/>
  <c r="X329" i="1" a="1"/>
  <c r="X329" i="1" s="1"/>
  <c r="X75" i="1" a="1"/>
  <c r="X75" i="1" s="1"/>
  <c r="X18" i="1" a="1"/>
  <c r="X18" i="1" s="1"/>
  <c r="X330" i="1" a="1"/>
  <c r="X330" i="1" s="1"/>
  <c r="X331" i="1" a="1"/>
  <c r="X331" i="1" s="1"/>
  <c r="X332" i="1" a="1"/>
  <c r="X332" i="1" s="1"/>
  <c r="X333" i="1" a="1"/>
  <c r="X333" i="1" s="1"/>
  <c r="X334" i="1" a="1"/>
  <c r="X334" i="1" s="1"/>
  <c r="X335" i="1" a="1"/>
  <c r="X335" i="1" s="1"/>
  <c r="X336" i="1" a="1"/>
  <c r="X336" i="1" s="1"/>
  <c r="X337" i="1" a="1"/>
  <c r="X337" i="1" s="1"/>
  <c r="X338" i="1" a="1"/>
  <c r="X338" i="1" s="1"/>
  <c r="X89" i="1" a="1"/>
  <c r="X89" i="1" s="1"/>
  <c r="X70" i="1" a="1"/>
  <c r="X70" i="1" s="1"/>
  <c r="X339" i="1" a="1"/>
  <c r="X339" i="1" s="1"/>
  <c r="X340" i="1" a="1"/>
  <c r="X340" i="1" s="1"/>
  <c r="X341" i="1" a="1"/>
  <c r="X341" i="1" s="1"/>
  <c r="X342" i="1" a="1"/>
  <c r="X342" i="1" s="1"/>
  <c r="X343" i="1" a="1"/>
  <c r="X343" i="1" s="1"/>
  <c r="X344" i="1" a="1"/>
  <c r="X344" i="1" s="1"/>
  <c r="X345" i="1" a="1"/>
  <c r="X345" i="1" s="1"/>
  <c r="X346" i="1" a="1"/>
  <c r="X346" i="1" s="1"/>
  <c r="X347" i="1" a="1"/>
  <c r="X347" i="1" s="1"/>
  <c r="X348" i="1" a="1"/>
  <c r="X348" i="1" s="1"/>
  <c r="X349" i="1" a="1"/>
  <c r="X349" i="1" s="1"/>
  <c r="X350" i="1" a="1"/>
  <c r="X350" i="1" s="1"/>
  <c r="X351" i="1" a="1"/>
  <c r="X351" i="1" s="1"/>
  <c r="X352" i="1" a="1"/>
  <c r="X352" i="1" s="1"/>
  <c r="X353" i="1" a="1"/>
  <c r="X353" i="1" s="1"/>
  <c r="X354" i="1" a="1"/>
  <c r="X354" i="1" s="1"/>
  <c r="X48" i="1" a="1"/>
  <c r="X48" i="1" s="1"/>
  <c r="X355" i="1" a="1"/>
  <c r="X355" i="1" s="1"/>
  <c r="X356" i="1" a="1"/>
  <c r="X356" i="1" s="1"/>
  <c r="X14" i="1" a="1"/>
  <c r="X14" i="1" s="1"/>
  <c r="X65" i="1" a="1"/>
  <c r="X65" i="1" s="1"/>
  <c r="X357" i="1" a="1"/>
  <c r="X357" i="1" s="1"/>
  <c r="X358" i="1" a="1"/>
  <c r="X358" i="1" s="1"/>
  <c r="X47" i="1" a="1"/>
  <c r="X47" i="1" s="1"/>
  <c r="X359" i="1" a="1"/>
  <c r="X359" i="1" s="1"/>
  <c r="X80" i="1" a="1"/>
  <c r="X80" i="1" s="1"/>
  <c r="X21" i="1" a="1"/>
  <c r="X21" i="1" s="1"/>
  <c r="X85" i="1" a="1"/>
  <c r="X85" i="1" s="1"/>
  <c r="X360" i="1" a="1"/>
  <c r="X360" i="1" s="1"/>
  <c r="X361" i="1" a="1"/>
  <c r="X361" i="1" s="1"/>
  <c r="X362" i="1" a="1"/>
  <c r="X362" i="1" s="1"/>
  <c r="X363" i="1" a="1"/>
  <c r="X363" i="1" s="1"/>
  <c r="X364" i="1" a="1"/>
  <c r="X364" i="1" s="1"/>
  <c r="X365" i="1" a="1"/>
  <c r="X365" i="1" s="1"/>
  <c r="X366" i="1" a="1"/>
  <c r="X366" i="1" s="1"/>
  <c r="X367" i="1" a="1"/>
  <c r="X367" i="1" s="1"/>
  <c r="X368" i="1" a="1"/>
  <c r="X368" i="1" s="1"/>
  <c r="X77" i="1" a="1"/>
  <c r="X77" i="1" s="1"/>
  <c r="X369" i="1" a="1"/>
  <c r="X369" i="1" s="1"/>
  <c r="X60" i="1" a="1"/>
  <c r="X60" i="1" s="1"/>
  <c r="X83" i="1" a="1"/>
  <c r="X83" i="1" s="1"/>
  <c r="X108" i="1" a="1"/>
  <c r="X108" i="1" s="1"/>
  <c r="X370" i="1" a="1"/>
  <c r="X370" i="1" s="1"/>
  <c r="X371" i="1" a="1"/>
  <c r="X371" i="1" s="1"/>
  <c r="X372" i="1" a="1"/>
  <c r="X372" i="1" s="1"/>
  <c r="X373" i="1" a="1"/>
  <c r="X373" i="1" s="1"/>
  <c r="X374" i="1" a="1"/>
  <c r="X374" i="1" s="1"/>
  <c r="X375" i="1" a="1"/>
  <c r="X375" i="1" s="1"/>
  <c r="X376" i="1" a="1"/>
  <c r="X376" i="1" s="1"/>
  <c r="X377" i="1" a="1"/>
  <c r="X377" i="1" s="1"/>
  <c r="X378" i="1" a="1"/>
  <c r="X378" i="1" s="1"/>
  <c r="X379" i="1" a="1"/>
  <c r="X379" i="1" s="1"/>
  <c r="X380" i="1" a="1"/>
  <c r="X380" i="1" s="1"/>
  <c r="X381" i="1" a="1"/>
  <c r="X381" i="1" s="1"/>
  <c r="X51" i="1" a="1"/>
  <c r="X51" i="1" s="1"/>
  <c r="X382" i="1" a="1"/>
  <c r="X382" i="1" s="1"/>
  <c r="X383" i="1" a="1"/>
  <c r="X383" i="1" s="1"/>
  <c r="X105" i="1" a="1"/>
  <c r="X105" i="1" s="1"/>
  <c r="X384" i="1" a="1"/>
  <c r="X384" i="1" s="1"/>
  <c r="X385" i="1" a="1"/>
  <c r="X385" i="1" s="1"/>
  <c r="X386" i="1" a="1"/>
  <c r="X386" i="1" s="1"/>
  <c r="X387" i="1" a="1"/>
  <c r="X387" i="1" s="1"/>
  <c r="X388" i="1" a="1"/>
  <c r="X388" i="1" s="1"/>
  <c r="X389" i="1" a="1"/>
  <c r="X389" i="1" s="1"/>
  <c r="X390" i="1" a="1"/>
  <c r="X390" i="1" s="1"/>
  <c r="X391" i="1" a="1"/>
  <c r="X391" i="1" s="1"/>
  <c r="X392" i="1" a="1"/>
  <c r="X392" i="1" s="1"/>
  <c r="X393" i="1" a="1"/>
  <c r="X393" i="1" s="1"/>
  <c r="X394" i="1" a="1"/>
  <c r="X394" i="1" s="1"/>
  <c r="X395" i="1" a="1"/>
  <c r="X395" i="1" s="1"/>
  <c r="X396" i="1" a="1"/>
  <c r="X396" i="1" s="1"/>
  <c r="X397" i="1" a="1"/>
  <c r="X397" i="1" s="1"/>
  <c r="X398" i="1" a="1"/>
  <c r="X398" i="1" s="1"/>
  <c r="X399" i="1" a="1"/>
  <c r="X399" i="1" s="1"/>
  <c r="X400" i="1" a="1"/>
  <c r="X400" i="1" s="1"/>
  <c r="X401" i="1" a="1"/>
  <c r="X401" i="1" s="1"/>
  <c r="X402" i="1" a="1"/>
  <c r="X402" i="1" s="1"/>
  <c r="X403" i="1" a="1"/>
  <c r="X403" i="1" s="1"/>
  <c r="X404" i="1" a="1"/>
  <c r="X404" i="1" s="1"/>
  <c r="X405" i="1" a="1"/>
  <c r="X405" i="1" s="1"/>
  <c r="X406" i="1" a="1"/>
  <c r="X406" i="1" s="1"/>
  <c r="X407" i="1" a="1"/>
  <c r="X407" i="1" s="1"/>
  <c r="X408" i="1" a="1"/>
  <c r="X408" i="1" s="1"/>
  <c r="X409" i="1" a="1"/>
  <c r="X409" i="1" s="1"/>
  <c r="X58" i="1" a="1"/>
  <c r="X58" i="1" s="1"/>
  <c r="X410" i="1" a="1"/>
  <c r="X410" i="1" s="1"/>
  <c r="X411" i="1" a="1"/>
  <c r="X411" i="1" s="1"/>
  <c r="X412" i="1" a="1"/>
  <c r="X412" i="1" s="1"/>
  <c r="X31" i="1" a="1"/>
  <c r="X31" i="1" s="1"/>
  <c r="X36" i="1" a="1"/>
  <c r="X36" i="1" s="1"/>
  <c r="X19" i="1" a="1"/>
  <c r="X19" i="1" s="1"/>
  <c r="X79" i="1" a="1"/>
  <c r="X79" i="1" s="1"/>
  <c r="X413" i="1" a="1"/>
  <c r="X413" i="1" s="1"/>
  <c r="X38" i="1" a="1"/>
  <c r="X38" i="1" s="1"/>
  <c r="X46" i="1" a="1"/>
  <c r="X46" i="1" s="1"/>
  <c r="X4" i="1" a="1"/>
  <c r="X4" i="1" s="1"/>
  <c r="X414" i="1" a="1"/>
  <c r="X414" i="1" s="1"/>
  <c r="X415" i="1" a="1"/>
  <c r="X415" i="1" s="1"/>
  <c r="X66" i="1" a="1"/>
  <c r="X66" i="1" s="1"/>
  <c r="X50" i="1" a="1"/>
  <c r="X50" i="1" s="1"/>
  <c r="X416" i="1" a="1"/>
  <c r="X416" i="1" s="1"/>
  <c r="X417" i="1" a="1"/>
  <c r="X417" i="1" s="1"/>
  <c r="X54" i="1" a="1"/>
  <c r="X54" i="1" s="1"/>
  <c r="X23" i="1" a="1"/>
  <c r="X23" i="1" s="1"/>
  <c r="X418" i="1" a="1"/>
  <c r="X418" i="1" s="1"/>
  <c r="X419" i="1" a="1"/>
  <c r="X419" i="1" s="1"/>
  <c r="X93" i="1" a="1"/>
  <c r="X93" i="1" s="1"/>
  <c r="X420" i="1" a="1"/>
  <c r="X420" i="1" s="1"/>
  <c r="X104" i="1" a="1"/>
  <c r="X104" i="1" s="1"/>
  <c r="X421" i="1" a="1"/>
  <c r="X421" i="1" s="1"/>
  <c r="X422" i="1" a="1"/>
  <c r="X422" i="1" s="1"/>
  <c r="X423" i="1" a="1"/>
  <c r="X423" i="1" s="1"/>
  <c r="X424" i="1" a="1"/>
  <c r="X424" i="1" s="1"/>
  <c r="X425" i="1" a="1"/>
  <c r="X425" i="1" s="1"/>
  <c r="X10" i="1" a="1"/>
  <c r="X10" i="1" s="1"/>
  <c r="X426" i="1" a="1"/>
  <c r="X426" i="1" s="1"/>
  <c r="X427" i="1" a="1"/>
  <c r="X427" i="1" s="1"/>
  <c r="X428" i="1" a="1"/>
  <c r="X428" i="1" s="1"/>
  <c r="X81" i="1" a="1"/>
  <c r="X81" i="1" s="1"/>
  <c r="X41" i="1" a="1"/>
  <c r="X41" i="1" s="1"/>
  <c r="X39" i="1" a="1"/>
  <c r="X39" i="1" s="1"/>
  <c r="X109" i="1" a="1"/>
  <c r="X109" i="1" s="1"/>
  <c r="W109" i="1" a="1"/>
  <c r="W109" i="1" s="1"/>
  <c r="V109" i="1" a="1"/>
  <c r="V109" i="1" s="1"/>
  <c r="U109" i="1" a="1"/>
  <c r="U109" i="1" s="1"/>
  <c r="G110" i="1"/>
  <c r="G111" i="1"/>
  <c r="G112" i="1"/>
  <c r="G113" i="1"/>
  <c r="G114" i="1"/>
  <c r="G98" i="1"/>
  <c r="G91" i="1"/>
  <c r="G115" i="1"/>
  <c r="G28" i="1"/>
  <c r="G116" i="1"/>
  <c r="G117" i="1"/>
  <c r="G118" i="1"/>
  <c r="G119" i="1"/>
  <c r="G120" i="1"/>
  <c r="G102" i="1"/>
  <c r="G121" i="1"/>
  <c r="G122" i="1"/>
  <c r="G123" i="1"/>
  <c r="G124" i="1"/>
  <c r="G125" i="1"/>
  <c r="G126" i="1"/>
  <c r="G99" i="1"/>
  <c r="G127" i="1"/>
  <c r="G128" i="1"/>
  <c r="G26" i="1"/>
  <c r="G129" i="1"/>
  <c r="G52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45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97" i="1"/>
  <c r="G170" i="1"/>
  <c r="G171" i="1"/>
  <c r="G172" i="1"/>
  <c r="G27" i="1"/>
  <c r="G173" i="1"/>
  <c r="G33" i="1"/>
  <c r="G174" i="1"/>
  <c r="G175" i="1"/>
  <c r="G176" i="1"/>
  <c r="G177" i="1"/>
  <c r="G82" i="1"/>
  <c r="G74" i="1"/>
  <c r="G178" i="1"/>
  <c r="G179" i="1"/>
  <c r="G180" i="1"/>
  <c r="G181" i="1"/>
  <c r="G182" i="1"/>
  <c r="G183" i="1"/>
  <c r="G184" i="1"/>
  <c r="G5" i="1"/>
  <c r="G185" i="1"/>
  <c r="G186" i="1"/>
  <c r="G42" i="1"/>
  <c r="G187" i="1"/>
  <c r="G29" i="1"/>
  <c r="G53" i="1"/>
  <c r="G188" i="1"/>
  <c r="G189" i="1"/>
  <c r="G15" i="1"/>
  <c r="G190" i="1"/>
  <c r="G191" i="1"/>
  <c r="G192" i="1"/>
  <c r="G193" i="1"/>
  <c r="G194" i="1"/>
  <c r="G195" i="1"/>
  <c r="G196" i="1"/>
  <c r="G73" i="1"/>
  <c r="G76" i="1"/>
  <c r="G197" i="1"/>
  <c r="G198" i="1"/>
  <c r="G92" i="1"/>
  <c r="G64" i="1"/>
  <c r="G22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7" i="1"/>
  <c r="G211" i="1"/>
  <c r="G212" i="1"/>
  <c r="G213" i="1"/>
  <c r="G214" i="1"/>
  <c r="G215" i="1"/>
  <c r="G216" i="1"/>
  <c r="G217" i="1"/>
  <c r="G218" i="1"/>
  <c r="G219" i="1"/>
  <c r="G9" i="1"/>
  <c r="G220" i="1"/>
  <c r="G221" i="1"/>
  <c r="G222" i="1"/>
  <c r="G223" i="1"/>
  <c r="G224" i="1"/>
  <c r="G225" i="1"/>
  <c r="G226" i="1"/>
  <c r="G227" i="1"/>
  <c r="G228" i="1"/>
  <c r="G229" i="1"/>
  <c r="G71" i="1"/>
  <c r="G34" i="1"/>
  <c r="G230" i="1"/>
  <c r="G231" i="1"/>
  <c r="G59" i="1"/>
  <c r="G232" i="1"/>
  <c r="G233" i="1"/>
  <c r="G234" i="1"/>
  <c r="G84" i="1"/>
  <c r="G61" i="1"/>
  <c r="G62" i="1"/>
  <c r="G235" i="1"/>
  <c r="G56" i="1"/>
  <c r="G236" i="1"/>
  <c r="G237" i="1"/>
  <c r="G238" i="1"/>
  <c r="G239" i="1"/>
  <c r="G240" i="1"/>
  <c r="G241" i="1"/>
  <c r="G242" i="1"/>
  <c r="G40" i="1"/>
  <c r="G243" i="1"/>
  <c r="G244" i="1"/>
  <c r="G245" i="1"/>
  <c r="G43" i="1"/>
  <c r="G67" i="1"/>
  <c r="G246" i="1"/>
  <c r="G247" i="1"/>
  <c r="G248" i="1"/>
  <c r="G101" i="1"/>
  <c r="G249" i="1"/>
  <c r="G250" i="1"/>
  <c r="G251" i="1"/>
  <c r="G32" i="1"/>
  <c r="G252" i="1"/>
  <c r="G253" i="1"/>
  <c r="G87" i="1"/>
  <c r="G254" i="1"/>
  <c r="G255" i="1"/>
  <c r="G256" i="1"/>
  <c r="G257" i="1"/>
  <c r="G258" i="1"/>
  <c r="G49" i="1"/>
  <c r="G63" i="1"/>
  <c r="G8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94" i="1"/>
  <c r="G280" i="1"/>
  <c r="G281" i="1"/>
  <c r="G282" i="1"/>
  <c r="G283" i="1"/>
  <c r="G284" i="1"/>
  <c r="G285" i="1"/>
  <c r="G286" i="1"/>
  <c r="G107" i="1"/>
  <c r="G287" i="1"/>
  <c r="G55" i="1"/>
  <c r="G11" i="1"/>
  <c r="G13" i="1"/>
  <c r="G288" i="1"/>
  <c r="G24" i="1"/>
  <c r="G289" i="1"/>
  <c r="G8" i="1"/>
  <c r="G103" i="1"/>
  <c r="G290" i="1"/>
  <c r="G35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57" i="1"/>
  <c r="G307" i="1"/>
  <c r="G95" i="1"/>
  <c r="G308" i="1"/>
  <c r="G78" i="1"/>
  <c r="G20" i="1"/>
  <c r="G6" i="1"/>
  <c r="G96" i="1"/>
  <c r="G86" i="1"/>
  <c r="G309" i="1"/>
  <c r="G310" i="1"/>
  <c r="G311" i="1"/>
  <c r="G90" i="1"/>
  <c r="G312" i="1"/>
  <c r="G313" i="1"/>
  <c r="G314" i="1"/>
  <c r="G315" i="1"/>
  <c r="G316" i="1"/>
  <c r="G317" i="1"/>
  <c r="G318" i="1"/>
  <c r="G72" i="1"/>
  <c r="G319" i="1"/>
  <c r="G25" i="1"/>
  <c r="G320" i="1"/>
  <c r="G321" i="1"/>
  <c r="G322" i="1"/>
  <c r="G69" i="1"/>
  <c r="G323" i="1"/>
  <c r="G324" i="1"/>
  <c r="G325" i="1"/>
  <c r="G326" i="1"/>
  <c r="G327" i="1"/>
  <c r="G16" i="1"/>
  <c r="G328" i="1"/>
  <c r="G17" i="1"/>
  <c r="G329" i="1"/>
  <c r="G75" i="1"/>
  <c r="G18" i="1"/>
  <c r="G330" i="1"/>
  <c r="G331" i="1"/>
  <c r="G332" i="1"/>
  <c r="G333" i="1"/>
  <c r="G334" i="1"/>
  <c r="G335" i="1"/>
  <c r="G336" i="1"/>
  <c r="G337" i="1"/>
  <c r="G338" i="1"/>
  <c r="G89" i="1"/>
  <c r="G70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48" i="1"/>
  <c r="G355" i="1"/>
  <c r="G356" i="1"/>
  <c r="G14" i="1"/>
  <c r="G65" i="1"/>
  <c r="G357" i="1"/>
  <c r="G358" i="1"/>
  <c r="G47" i="1"/>
  <c r="G359" i="1"/>
  <c r="G80" i="1"/>
  <c r="G21" i="1"/>
  <c r="G85" i="1"/>
  <c r="G360" i="1"/>
  <c r="G361" i="1"/>
  <c r="G362" i="1"/>
  <c r="G363" i="1"/>
  <c r="G364" i="1"/>
  <c r="G365" i="1"/>
  <c r="G366" i="1"/>
  <c r="G367" i="1"/>
  <c r="G368" i="1"/>
  <c r="G77" i="1"/>
  <c r="G369" i="1"/>
  <c r="G60" i="1"/>
  <c r="G83" i="1"/>
  <c r="G108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51" i="1"/>
  <c r="G382" i="1"/>
  <c r="G383" i="1"/>
  <c r="G105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58" i="1"/>
  <c r="G410" i="1"/>
  <c r="G411" i="1"/>
  <c r="G412" i="1"/>
  <c r="G31" i="1"/>
  <c r="G36" i="1"/>
  <c r="G19" i="1"/>
  <c r="G79" i="1"/>
  <c r="G413" i="1"/>
  <c r="G38" i="1"/>
  <c r="G46" i="1"/>
  <c r="G4" i="1"/>
  <c r="G414" i="1"/>
  <c r="G415" i="1"/>
  <c r="G66" i="1"/>
  <c r="G50" i="1"/>
  <c r="G416" i="1"/>
  <c r="G417" i="1"/>
  <c r="G54" i="1"/>
  <c r="G23" i="1"/>
  <c r="G418" i="1"/>
  <c r="G419" i="1"/>
  <c r="G93" i="1"/>
  <c r="G420" i="1"/>
  <c r="G104" i="1"/>
  <c r="G421" i="1"/>
  <c r="G422" i="1"/>
  <c r="G423" i="1"/>
  <c r="G424" i="1"/>
  <c r="G425" i="1"/>
  <c r="G10" i="1"/>
  <c r="G426" i="1"/>
  <c r="G427" i="1"/>
  <c r="G428" i="1"/>
  <c r="G81" i="1"/>
  <c r="G41" i="1"/>
  <c r="G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<sst xmlns="http://schemas.openxmlformats.org/spreadsheetml/2006/main" count="5046" uniqueCount="3136">
  <si>
    <t>xcoord (m)</t>
  </si>
  <si>
    <t>ycoord (m)</t>
  </si>
  <si>
    <t>xcoord (º)</t>
  </si>
  <si>
    <t>ycoord (º)</t>
  </si>
  <si>
    <t>udalerria</t>
  </si>
  <si>
    <t>izena</t>
  </si>
  <si>
    <t>mota</t>
  </si>
  <si>
    <t>weborria</t>
  </si>
  <si>
    <t>Data</t>
  </si>
  <si>
    <t>Ormaiztegi</t>
  </si>
  <si>
    <t>Ormaiztegiko BTT trabesia</t>
  </si>
  <si>
    <t>BTT trabesia</t>
  </si>
  <si>
    <t>Beasain</t>
  </si>
  <si>
    <t>Garin Mendi Lasterketa</t>
  </si>
  <si>
    <t>Mendi Lasterketa</t>
  </si>
  <si>
    <t>Urtarrila</t>
  </si>
  <si>
    <t>Ordizia</t>
  </si>
  <si>
    <t>Ordiziako Mendi Lasterketa</t>
  </si>
  <si>
    <t>Otraila</t>
  </si>
  <si>
    <t>Urretxu-Zumarraga</t>
  </si>
  <si>
    <t>UZ Trail</t>
  </si>
  <si>
    <t>Martxoa</t>
  </si>
  <si>
    <t>Gabiria</t>
  </si>
  <si>
    <t>Leharrei</t>
  </si>
  <si>
    <t>Apirila</t>
  </si>
  <si>
    <t>Segura-Zerain</t>
  </si>
  <si>
    <t>Segura-Zerain Mendi Lasterketa</t>
  </si>
  <si>
    <t>Maiatza</t>
  </si>
  <si>
    <t>Abaltzisketa</t>
  </si>
  <si>
    <t>Txindokiko KB</t>
  </si>
  <si>
    <t>Zaldibia</t>
  </si>
  <si>
    <t>Zaldibiako Mendi Lasterketa</t>
  </si>
  <si>
    <t>Lazkao</t>
  </si>
  <si>
    <t>Lazkao Mendi Lasterketa</t>
  </si>
  <si>
    <t>Ekaina</t>
  </si>
  <si>
    <t>Aztiria</t>
  </si>
  <si>
    <t>Aztiriko Mendi Lasterketa</t>
  </si>
  <si>
    <t>Uztaila</t>
  </si>
  <si>
    <t>Idiazabal</t>
  </si>
  <si>
    <t>Axari Trail</t>
  </si>
  <si>
    <t>Iraila</t>
  </si>
  <si>
    <t>Legazpi</t>
  </si>
  <si>
    <t>Korosti Trail</t>
  </si>
  <si>
    <t>Urria</t>
  </si>
  <si>
    <t>Zegama</t>
  </si>
  <si>
    <t>Zegama-Aikorri Mendi Lasterketa</t>
  </si>
  <si>
    <t>UDALERRIA</t>
  </si>
  <si>
    <t>IZENA</t>
  </si>
  <si>
    <t>MOTA</t>
  </si>
  <si>
    <t>TELEFONOA</t>
  </si>
  <si>
    <t>EMAIL</t>
  </si>
  <si>
    <t>WEB ORRIA</t>
  </si>
  <si>
    <t>SARE SOZIALAK</t>
  </si>
  <si>
    <t>DATA</t>
  </si>
  <si>
    <t>568862.62</t>
  </si>
  <si>
    <t>4768352.27</t>
  </si>
  <si>
    <t>-2.1542600</t>
  </si>
  <si>
    <t>43.0647500</t>
  </si>
  <si>
    <t>Altzaga</t>
  </si>
  <si>
    <t>Olagi</t>
  </si>
  <si>
    <t>Sagardotegia</t>
  </si>
  <si>
    <t>943 88 77 26 / 615 700 408</t>
  </si>
  <si>
    <t>olagi.altzaga@gmail.com</t>
  </si>
  <si>
    <t>http://www.olagi.es/</t>
  </si>
  <si>
    <t>567192.95</t>
  </si>
  <si>
    <t>4757262.95</t>
  </si>
  <si>
    <t>-2.1761000</t>
  </si>
  <si>
    <t>42.9650500</t>
  </si>
  <si>
    <t>Ataun</t>
  </si>
  <si>
    <t>Urbitarte</t>
  </si>
  <si>
    <t>943 18 01 19 / 629 875 219</t>
  </si>
  <si>
    <t>demetriourbitarte@gmail.com</t>
  </si>
  <si>
    <t>http://www.urbitartesagardotegia.com</t>
  </si>
  <si>
    <t>565924.13</t>
  </si>
  <si>
    <t>4760876.70</t>
  </si>
  <si>
    <t>-2.191229900</t>
  </si>
  <si>
    <t>42.9977000</t>
  </si>
  <si>
    <t>Aldarreta</t>
  </si>
  <si>
    <t>Nekazal turismoak</t>
  </si>
  <si>
    <t>943 18 03 66</t>
  </si>
  <si>
    <t>aldarreta@hotmail.es</t>
  </si>
  <si>
    <t>http://www.nekatur.net/aldarreta</t>
  </si>
  <si>
    <t>http://www.facebook.com/pages/agroturismo-aldarreta/120263731339647</t>
  </si>
  <si>
    <t>566714.56</t>
  </si>
  <si>
    <t>4758732.03</t>
  </si>
  <si>
    <t>-2.181789900</t>
  </si>
  <si>
    <t>42.9783200</t>
  </si>
  <si>
    <t>Barandiaran museoa</t>
  </si>
  <si>
    <t>Museo eta Interpretazio Zentroak</t>
  </si>
  <si>
    <t>943 18 03 35 / 680 56 84 81</t>
  </si>
  <si>
    <t>barandiaran@gipuzkoa.eus</t>
  </si>
  <si>
    <t>http://www.gipuzkoanatura.eus/es/parketxes/barandiaran</t>
  </si>
  <si>
    <t>573453.50</t>
  </si>
  <si>
    <t>4756835.16</t>
  </si>
  <si>
    <t>-2.0994000</t>
  </si>
  <si>
    <t>42.9606200</t>
  </si>
  <si>
    <t xml:space="preserve">Aralar Parke Naturaleko Interpretazio Zentroa-Lizarrusti Parketxea </t>
  </si>
  <si>
    <t>943 58 20 69</t>
  </si>
  <si>
    <t>lurra2@hotmail.com</t>
  </si>
  <si>
    <t>http://www.gipuzkoanatura.eus/es/parketxes/lizarrusti</t>
  </si>
  <si>
    <t>567050.93</t>
  </si>
  <si>
    <t>4761938.27</t>
  </si>
  <si>
    <t>-2.1772800</t>
  </si>
  <si>
    <t>43.0071600</t>
  </si>
  <si>
    <t>Baserritar azoka</t>
  </si>
  <si>
    <t>Ekitaldia</t>
  </si>
  <si>
    <t>San isidro inguruan</t>
  </si>
  <si>
    <t>San Martin Azoka</t>
  </si>
  <si>
    <t>San Martin inguruan</t>
  </si>
  <si>
    <t>564425.24</t>
  </si>
  <si>
    <t>4766387.64</t>
  </si>
  <si>
    <t>-2.2089800</t>
  </si>
  <si>
    <t>43.0474500</t>
  </si>
  <si>
    <t>Igartzako monumentu multzoa</t>
  </si>
  <si>
    <t>943 08 77 98/605 771 881</t>
  </si>
  <si>
    <t>igartza@beasain.eus</t>
  </si>
  <si>
    <t>http://igartza.eus</t>
  </si>
  <si>
    <t>565291.29</t>
  </si>
  <si>
    <t>4766281.47</t>
  </si>
  <si>
    <t>-2.198360100</t>
  </si>
  <si>
    <t>43.0464200</t>
  </si>
  <si>
    <t>Aparteko azoka</t>
  </si>
  <si>
    <t>565462.44</t>
  </si>
  <si>
    <t>4766357.51</t>
  </si>
  <si>
    <t>-2.1962500</t>
  </si>
  <si>
    <t>43.0470900</t>
  </si>
  <si>
    <t>Bertako elikagaien aparteko azoka</t>
  </si>
  <si>
    <t>Azaro hasiera</t>
  </si>
  <si>
    <t>558175.15</t>
  </si>
  <si>
    <t>4769382.36</t>
  </si>
  <si>
    <t>-2.285400100</t>
  </si>
  <si>
    <t>43.0749200</t>
  </si>
  <si>
    <t>Ezkio-Itsaso</t>
  </si>
  <si>
    <t>Igartubeiti museoa</t>
  </si>
  <si>
    <t>943 722 978</t>
  </si>
  <si>
    <t>igartubeiti@gipuzkoa.eus</t>
  </si>
  <si>
    <t>http://www.igartubeitibaserria.eus/</t>
  </si>
  <si>
    <t>558646.10</t>
  </si>
  <si>
    <t>4766588.83</t>
  </si>
  <si>
    <t>-2.2799100</t>
  </si>
  <si>
    <t>43.0497300</t>
  </si>
  <si>
    <t>Sagar erreginaren erakusketa eta azoka</t>
  </si>
  <si>
    <t>Azaroak 15</t>
  </si>
  <si>
    <t>570589.68</t>
  </si>
  <si>
    <t>4767101.56</t>
  </si>
  <si>
    <t>-2.1332100</t>
  </si>
  <si>
    <t>43.0533300</t>
  </si>
  <si>
    <t>Gaintza</t>
  </si>
  <si>
    <t>Periazoka</t>
  </si>
  <si>
    <t>562431.46</t>
  </si>
  <si>
    <t>4762349.92</t>
  </si>
  <si>
    <t>-2.2339100</t>
  </si>
  <si>
    <t>43.0112600</t>
  </si>
  <si>
    <t>Gaztaren Interpretazio eta degustazio zentroa</t>
  </si>
  <si>
    <t>943 18 82 03</t>
  </si>
  <si>
    <t>info@idiazabalturismo.com</t>
  </si>
  <si>
    <t>http://www.idiazabalturismo.com</t>
  </si>
  <si>
    <t>562478.75</t>
  </si>
  <si>
    <t>4762526.94</t>
  </si>
  <si>
    <t>-2.2333100</t>
  </si>
  <si>
    <t>43.0128500</t>
  </si>
  <si>
    <t xml:space="preserve">Idiazabal gazta azoka </t>
  </si>
  <si>
    <t>Maiatzeko lehen igandea</t>
  </si>
  <si>
    <t>Euskal Herriko gazta txapelketa</t>
  </si>
  <si>
    <t>Urriak 12 inguruan</t>
  </si>
  <si>
    <t>560316.28</t>
  </si>
  <si>
    <t>4767642.87</t>
  </si>
  <si>
    <t>-2.2592900</t>
  </si>
  <si>
    <t>43.0590900</t>
  </si>
  <si>
    <t>Itsaso</t>
  </si>
  <si>
    <t>Turismo aktiboa</t>
  </si>
  <si>
    <t>663 060 011</t>
  </si>
  <si>
    <t>iburhipikakluba@gmail.com</t>
  </si>
  <si>
    <t>Ibur Hipika Kluba â€“ Zaldiz ikasten</t>
  </si>
  <si>
    <t>567324.82</t>
  </si>
  <si>
    <t>4764999.56</t>
  </si>
  <si>
    <t>-2.1735500</t>
  </si>
  <si>
    <t>43.0347000</t>
  </si>
  <si>
    <t>Lizargarate</t>
  </si>
  <si>
    <t>943 88 19 74 / 652 705 599</t>
  </si>
  <si>
    <t>info@lizargarate.com</t>
  </si>
  <si>
    <t>http://www.nekatur.net/lizargarate</t>
  </si>
  <si>
    <t>http://www.facebook.com/pages/Agroturismo-Lizargarate-Nekazalturismoa/121848671187152</t>
  </si>
  <si>
    <t>566286.25</t>
  </si>
  <si>
    <t>4765149.34</t>
  </si>
  <si>
    <t>-2.1862800</t>
  </si>
  <si>
    <t>43.0361400</t>
  </si>
  <si>
    <t>Astotxo azoka</t>
  </si>
  <si>
    <t>Basherri eguna</t>
  </si>
  <si>
    <t>Irail bukaeran</t>
  </si>
  <si>
    <t>554116.90</t>
  </si>
  <si>
    <t>4763276.42</t>
  </si>
  <si>
    <t>-2.3358400</t>
  </si>
  <si>
    <t>43.0202400</t>
  </si>
  <si>
    <t>El Rincon del Pan</t>
  </si>
  <si>
    <t>943 730 428</t>
  </si>
  <si>
    <t>mirandaola@lenbur.com</t>
  </si>
  <si>
    <t>554018.34</t>
  </si>
  <si>
    <t>4765128.06</t>
  </si>
  <si>
    <t>-2.336870100</t>
  </si>
  <si>
    <t>43.0369200</t>
  </si>
  <si>
    <t>Burdinaren museoa</t>
  </si>
  <si>
    <t>554104.31</t>
  </si>
  <si>
    <t>4766515.83</t>
  </si>
  <si>
    <t>-2.335679900</t>
  </si>
  <si>
    <t>43.0494100</t>
  </si>
  <si>
    <t>Lenbur museoa</t>
  </si>
  <si>
    <t>http://www.lenbur.com</t>
  </si>
  <si>
    <t>554226.47</t>
  </si>
  <si>
    <t>4766618.97</t>
  </si>
  <si>
    <t>-2.3341700</t>
  </si>
  <si>
    <t>43.0503300</t>
  </si>
  <si>
    <t>Legazpiko nekazaritza eta abeltzain azoka</t>
  </si>
  <si>
    <t>Maiatzak 2</t>
  </si>
  <si>
    <t>Gipuzkoako Artzain eguna</t>
  </si>
  <si>
    <t>Iraileko lehen igandea</t>
  </si>
  <si>
    <t>569548.94</t>
  </si>
  <si>
    <t>4770604.89</t>
  </si>
  <si>
    <t>-2.1455500</t>
  </si>
  <si>
    <t>43.0849700</t>
  </si>
  <si>
    <t>Legorreta</t>
  </si>
  <si>
    <t>Begiristain</t>
  </si>
  <si>
    <t>943 80 60 66 / 607 365 743</t>
  </si>
  <si>
    <t>begiristainsagardotegia@gmail.com</t>
  </si>
  <si>
    <t>570355.34</t>
  </si>
  <si>
    <t>4770321.06</t>
  </si>
  <si>
    <t>-2.1356800</t>
  </si>
  <si>
    <t>43.0823400</t>
  </si>
  <si>
    <t>Bartzelona</t>
  </si>
  <si>
    <t>Landetxea</t>
  </si>
  <si>
    <t>943 80 62 06</t>
  </si>
  <si>
    <t>bartzelonanekazalturismoa@hotmail.com</t>
  </si>
  <si>
    <t>http://www.nekatur.net/bartzelona</t>
  </si>
  <si>
    <t>http://www.facebook.com/pages/Bartzelona/138407866212417</t>
  </si>
  <si>
    <t>559770.78</t>
  </si>
  <si>
    <t>4763900.97</t>
  </si>
  <si>
    <t>-2.2663900</t>
  </si>
  <si>
    <t>43.0254400</t>
  </si>
  <si>
    <t>Mutiloa</t>
  </si>
  <si>
    <t>Liernigarakoa</t>
  </si>
  <si>
    <t>669 777 160</t>
  </si>
  <si>
    <t>agrolierni@gmail.com</t>
  </si>
  <si>
    <t>http://www.nekatur.net/lierni</t>
  </si>
  <si>
    <t>http://www.facebook.com/pages/Lierni-Garakoa/114037048666771</t>
  </si>
  <si>
    <t>559209.56</t>
  </si>
  <si>
    <t>4763502.94</t>
  </si>
  <si>
    <t>-2.2733200</t>
  </si>
  <si>
    <t>43.0219000</t>
  </si>
  <si>
    <t>Txerri Azoka</t>
  </si>
  <si>
    <t>565348.12</t>
  </si>
  <si>
    <t>4763914.21</t>
  </si>
  <si>
    <t>-2.1979400</t>
  </si>
  <si>
    <t>43.0251000</t>
  </si>
  <si>
    <t>Olaberria</t>
  </si>
  <si>
    <t>Borda</t>
  </si>
  <si>
    <t>943 16 06 81/630 89 32 95</t>
  </si>
  <si>
    <t>567121.13</t>
  </si>
  <si>
    <t>4767075.50</t>
  </si>
  <si>
    <t>-2.1758000</t>
  </si>
  <si>
    <t>43.0534100</t>
  </si>
  <si>
    <t>Tximista</t>
  </si>
  <si>
    <t>943 88 11 28 /660 512 351 (aitor)</t>
  </si>
  <si>
    <t>tximistasagardotegia@gmail.com</t>
  </si>
  <si>
    <t>http://www.tximistasagardotegia.com</t>
  </si>
  <si>
    <t>566829.85</t>
  </si>
  <si>
    <t>4767128.18</t>
  </si>
  <si>
    <t>-2.1793700</t>
  </si>
  <si>
    <t>43.0539100</t>
  </si>
  <si>
    <t>d'Elikatuz-Elikadura eta Gastronomiaren Interpretazio Zentroa</t>
  </si>
  <si>
    <t>943 88 22 90</t>
  </si>
  <si>
    <t>turismo@ordizia.eus</t>
  </si>
  <si>
    <t>http://www.delikatuz.com/</t>
  </si>
  <si>
    <t>566820.78</t>
  </si>
  <si>
    <t>4767139.20</t>
  </si>
  <si>
    <t>-2.1794800</t>
  </si>
  <si>
    <t>43.0540100</t>
  </si>
  <si>
    <t>Artzain eguna</t>
  </si>
  <si>
    <t>Aste Santu ondorengo asteazkena</t>
  </si>
  <si>
    <t>Euskal Festak</t>
  </si>
  <si>
    <t>Irail hasierako asteazkena</t>
  </si>
  <si>
    <t>Gabonetako azoka berezia</t>
  </si>
  <si>
    <t>Abenduko azken asteazkena</t>
  </si>
  <si>
    <t>560704.09</t>
  </si>
  <si>
    <t>4765881.58</t>
  </si>
  <si>
    <t>-2.2547200</t>
  </si>
  <si>
    <t>43.0432000</t>
  </si>
  <si>
    <t>Zumalakarregi museoa</t>
  </si>
  <si>
    <t>943 88 99 00</t>
  </si>
  <si>
    <t>mzumalakarregi@gipuzkoa.eus</t>
  </si>
  <si>
    <t>http://www.zumalakarregimuseoa.eus</t>
  </si>
  <si>
    <t>560734.29</t>
  </si>
  <si>
    <t>4765875.19</t>
  </si>
  <si>
    <t>-2.254349900</t>
  </si>
  <si>
    <t>43.0431400</t>
  </si>
  <si>
    <t>Odolki Azoka</t>
  </si>
  <si>
    <t>Azaro bukaeran</t>
  </si>
  <si>
    <t>560906.24</t>
  </si>
  <si>
    <t>4762206.24</t>
  </si>
  <si>
    <t>-2.2526400</t>
  </si>
  <si>
    <t>43.0100900</t>
  </si>
  <si>
    <t>Segura</t>
  </si>
  <si>
    <t>Erdi Aroko Interpretazio Zentroa-Ardixarra</t>
  </si>
  <si>
    <t>943 80 17 49</t>
  </si>
  <si>
    <t>turismoa@segura.eus</t>
  </si>
  <si>
    <t>http://www.ezagutu.segura.eus</t>
  </si>
  <si>
    <t>560839.53</t>
  </si>
  <si>
    <t>4762009.08</t>
  </si>
  <si>
    <t>-2.2534800</t>
  </si>
  <si>
    <t>43.0083200</t>
  </si>
  <si>
    <t>Udaberriko azoka</t>
  </si>
  <si>
    <t>560873.48</t>
  </si>
  <si>
    <t>4762499.14</t>
  </si>
  <si>
    <t>-2.253009900</t>
  </si>
  <si>
    <t>43.0127300</t>
  </si>
  <si>
    <t>Ondarre</t>
  </si>
  <si>
    <t>943 80 16 64</t>
  </si>
  <si>
    <t>ondarresegura@gmail.com</t>
  </si>
  <si>
    <t>http://www.acvmultimedia.com/ondarre/</t>
  </si>
  <si>
    <t>http://www.facebook.com/pages/Casa-Rural-Ondarre-en-Gipuzkoa/331719833505575</t>
  </si>
  <si>
    <t>554633.67</t>
  </si>
  <si>
    <t>4771509.85</t>
  </si>
  <si>
    <t>-2.3286900</t>
  </si>
  <si>
    <t>43.0943400</t>
  </si>
  <si>
    <t>Urretxu</t>
  </si>
  <si>
    <t>Aikur</t>
  </si>
  <si>
    <t>630 70 25 87</t>
  </si>
  <si>
    <t>aikur@aikur.eus</t>
  </si>
  <si>
    <t>http://aikur.eus/es/</t>
  </si>
  <si>
    <t>555791.02</t>
  </si>
  <si>
    <t>4771411.49</t>
  </si>
  <si>
    <t>-2.314479900</t>
  </si>
  <si>
    <t>43.0933700</t>
  </si>
  <si>
    <t>Urrelur mineral eta fosilen museoa</t>
  </si>
  <si>
    <t>943 038 088</t>
  </si>
  <si>
    <t>kultura.ur@urretxu.eus</t>
  </si>
  <si>
    <t>http://www.urolagaraia.com/turismo-urola-garaia/urrelur/</t>
  </si>
  <si>
    <t>555821.24</t>
  </si>
  <si>
    <t>4771398.41</t>
  </si>
  <si>
    <t>-2.3141100</t>
  </si>
  <si>
    <t>43.0932500</t>
  </si>
  <si>
    <t>Landare eta lore azoka</t>
  </si>
  <si>
    <t>Santa Anastasia</t>
  </si>
  <si>
    <t>Irailean</t>
  </si>
  <si>
    <t>571072.33</t>
  </si>
  <si>
    <t>4765096.34</t>
  </si>
  <si>
    <t>-2.1275400</t>
  </si>
  <si>
    <t>43.0352300</t>
  </si>
  <si>
    <t>Irizar Azpikoa</t>
  </si>
  <si>
    <t>943 88 77 18/679 078 288</t>
  </si>
  <si>
    <t>irizarazpikoa@hotmail.com</t>
  </si>
  <si>
    <t>http://nekatur.net/irizar</t>
  </si>
  <si>
    <t>http://www.facebook.com/pages/Irizar-Azpikoa/175852512439133</t>
  </si>
  <si>
    <t>569529.11</t>
  </si>
  <si>
    <t>4762787.06</t>
  </si>
  <si>
    <t>-2.1467700</t>
  </si>
  <si>
    <t>43.0145800</t>
  </si>
  <si>
    <t>Lazkao Etxe</t>
  </si>
  <si>
    <t>943 88 00 44</t>
  </si>
  <si>
    <t>info@lazkaoetxe.com</t>
  </si>
  <si>
    <t>http://www.lazkaoetxe.com</t>
  </si>
  <si>
    <t>http://www.facebook.com/pages/Agroturismo-Lazkaoetxe/184142904933255</t>
  </si>
  <si>
    <t>569157.01</t>
  </si>
  <si>
    <t>4765412.11</t>
  </si>
  <si>
    <t>-2.1510100</t>
  </si>
  <si>
    <t>43.0382500</t>
  </si>
  <si>
    <t>Ardiki eguna</t>
  </si>
  <si>
    <t>Urri bukaera</t>
  </si>
  <si>
    <t>557116.68</t>
  </si>
  <si>
    <t>4758265.49</t>
  </si>
  <si>
    <t>-2.2995400</t>
  </si>
  <si>
    <t>42.9749000</t>
  </si>
  <si>
    <t>Arrieta Haundi</t>
  </si>
  <si>
    <t>943 80 18 90</t>
  </si>
  <si>
    <t>arrietahaundi@gmail.com</t>
  </si>
  <si>
    <t>http://www.arrietahaundi.es</t>
  </si>
  <si>
    <t>http://www.facebook.com/pages/Arrieta-Haundi-Agroturismo/316772403884</t>
  </si>
  <si>
    <t>557684.68</t>
  </si>
  <si>
    <t>4758698.93</t>
  </si>
  <si>
    <t>-2.2925300</t>
  </si>
  <si>
    <t>42.9787600</t>
  </si>
  <si>
    <t>Aizkorri-Aratz Parke Naturaleko Interpretazio Zentroa-Anduetza Parketxea</t>
  </si>
  <si>
    <t>943 80 21 87</t>
  </si>
  <si>
    <t>anduetza@gipuzkoa.eus</t>
  </si>
  <si>
    <t>"http://www.gipuzkoanatura.eus/es/parketxes/anduetza</t>
  </si>
  <si>
    <t>557836.74</t>
  </si>
  <si>
    <t>4758362.60</t>
  </si>
  <si>
    <t>-2.2907000</t>
  </si>
  <si>
    <t>42.9757200</t>
  </si>
  <si>
    <t>Erlezainen eguna</t>
  </si>
  <si>
    <t>559508.92</t>
  </si>
  <si>
    <t>4763093.52</t>
  </si>
  <si>
    <t>-2.2696900</t>
  </si>
  <si>
    <t>43.0181900</t>
  </si>
  <si>
    <t>Zerain</t>
  </si>
  <si>
    <t>Oiharte</t>
  </si>
  <si>
    <t>686 299 158 / 690 793 507</t>
  </si>
  <si>
    <t>sagardotegia@oiharte.com</t>
  </si>
  <si>
    <t>http://www.oiharte.com/</t>
  </si>
  <si>
    <t>http://www.facebook.com/profile.php?id=100002470197416</t>
  </si>
  <si>
    <t>680 17 12 91</t>
  </si>
  <si>
    <t>oiharte@oiharte.com</t>
  </si>
  <si>
    <t>556917.44</t>
  </si>
  <si>
    <t>4763102.57</t>
  </si>
  <si>
    <t>-2.3014900</t>
  </si>
  <si>
    <t>43.0184700</t>
  </si>
  <si>
    <t>Tellerine</t>
  </si>
  <si>
    <t>943 58 20 31</t>
  </si>
  <si>
    <t>557221.43</t>
  </si>
  <si>
    <t>4762709.74</t>
  </si>
  <si>
    <t>-2.297799900</t>
  </si>
  <si>
    <t>43.0149100</t>
  </si>
  <si>
    <t>Aizpea Meatzegunea</t>
  </si>
  <si>
    <t>943 80 15 05</t>
  </si>
  <si>
    <t>turismobulegoa@zerain.eus</t>
  </si>
  <si>
    <t>http://zerain.eus</t>
  </si>
  <si>
    <t>559240.35</t>
  </si>
  <si>
    <t>4762488.14</t>
  </si>
  <si>
    <t>-2.2730500</t>
  </si>
  <si>
    <t>43.0127600</t>
  </si>
  <si>
    <t>Zeraingo herri museoa</t>
  </si>
  <si>
    <t>943 801 505</t>
  </si>
  <si>
    <t>turismobulegoa@aldabe.com</t>
  </si>
  <si>
    <t>http://www.zerain.com</t>
  </si>
  <si>
    <t>559192.38</t>
  </si>
  <si>
    <t>4762474.40</t>
  </si>
  <si>
    <t>-2.2736400</t>
  </si>
  <si>
    <t>43.0126400</t>
  </si>
  <si>
    <t>Azoka ekologikoa</t>
  </si>
  <si>
    <t>Iraileko 3. igandea</t>
  </si>
  <si>
    <t>555810.98</t>
  </si>
  <si>
    <t>4771060.71</t>
  </si>
  <si>
    <t>-2.3142700</t>
  </si>
  <si>
    <t>43.0902100</t>
  </si>
  <si>
    <t>Zumarraga</t>
  </si>
  <si>
    <t>Buzkantza Eguna</t>
  </si>
  <si>
    <t>555807.68</t>
  </si>
  <si>
    <t>4771065.12</t>
  </si>
  <si>
    <t>-2.314310100</t>
  </si>
  <si>
    <t>43.0902500</t>
  </si>
  <si>
    <t>Zumarraga/Urretxu</t>
  </si>
  <si>
    <t>Santa Lutzi azoka</t>
  </si>
  <si>
    <t>Abenduak 13</t>
  </si>
  <si>
    <t>Goitres</t>
  </si>
  <si>
    <t>Makinaria Zerbitzua</t>
  </si>
  <si>
    <t>Zerralan</t>
  </si>
  <si>
    <t>Elkartea</t>
  </si>
  <si>
    <t>Goimen</t>
  </si>
  <si>
    <t>Nekazaldi</t>
  </si>
  <si>
    <t>Nekalde</t>
  </si>
  <si>
    <t>ordutegia</t>
  </si>
  <si>
    <t>web orria</t>
  </si>
  <si>
    <t>-2.196260</t>
  </si>
  <si>
    <t>43.047230</t>
  </si>
  <si>
    <t>Asterokoa</t>
  </si>
  <si>
    <t xml:space="preserve">Astearteak </t>
  </si>
  <si>
    <t>-2.198360</t>
  </si>
  <si>
    <t>43.046420</t>
  </si>
  <si>
    <t>BEASAIN</t>
  </si>
  <si>
    <t>Beasaingo azoka berezia</t>
  </si>
  <si>
    <t>Azoka berezia</t>
  </si>
  <si>
    <t>Hilabeteko lehen larunbata</t>
  </si>
  <si>
    <t>https://www.beasain.eus/lehen-larunbateko-azoka</t>
  </si>
  <si>
    <t>-2.186790</t>
  </si>
  <si>
    <t>43.034270</t>
  </si>
  <si>
    <t>LAZKAO</t>
  </si>
  <si>
    <t>Astelehenak</t>
  </si>
  <si>
    <t>-2.333640</t>
  </si>
  <si>
    <t>43.050570</t>
  </si>
  <si>
    <t>LEGAZPI</t>
  </si>
  <si>
    <t>Ostiralak</t>
  </si>
  <si>
    <t>-2.179580</t>
  </si>
  <si>
    <t>43.053930</t>
  </si>
  <si>
    <t>ORDIZIA</t>
  </si>
  <si>
    <t>Asteazkenak</t>
  </si>
  <si>
    <t>-2.314320</t>
  </si>
  <si>
    <t>43.090280</t>
  </si>
  <si>
    <t>ZUMARRAGA</t>
  </si>
  <si>
    <t>Larunbatak</t>
  </si>
  <si>
    <t>-2.177280</t>
  </si>
  <si>
    <t>43.007160</t>
  </si>
  <si>
    <t>-2.196250</t>
  </si>
  <si>
    <t>43.047090</t>
  </si>
  <si>
    <t>-2.279910</t>
  </si>
  <si>
    <t>43.049730</t>
  </si>
  <si>
    <t>-2.133210</t>
  </si>
  <si>
    <t>43.053330</t>
  </si>
  <si>
    <t>-2.233310</t>
  </si>
  <si>
    <t>43.012850</t>
  </si>
  <si>
    <t>-2.186280</t>
  </si>
  <si>
    <t>43.036140</t>
  </si>
  <si>
    <t>-2.334170</t>
  </si>
  <si>
    <t>43.050330</t>
  </si>
  <si>
    <t>-2.273320</t>
  </si>
  <si>
    <t>43.021900</t>
  </si>
  <si>
    <t>-2.179480</t>
  </si>
  <si>
    <t>43.054010</t>
  </si>
  <si>
    <t>-2.254350</t>
  </si>
  <si>
    <t>43.043140</t>
  </si>
  <si>
    <t>-2.253480</t>
  </si>
  <si>
    <t>43.008320</t>
  </si>
  <si>
    <t>-2.314110</t>
  </si>
  <si>
    <t>43.093250</t>
  </si>
  <si>
    <t>-2.273640</t>
  </si>
  <si>
    <t>43.012640</t>
  </si>
  <si>
    <t>-2.314310</t>
  </si>
  <si>
    <t>43.090250</t>
  </si>
  <si>
    <t>telefonoa</t>
  </si>
  <si>
    <t>emaila</t>
  </si>
  <si>
    <t>Ekoizleak</t>
  </si>
  <si>
    <t>43.0548600</t>
  </si>
  <si>
    <t>Denda</t>
  </si>
  <si>
    <t>4766397.30</t>
  </si>
  <si>
    <t>-2.1965000</t>
  </si>
  <si>
    <t>Olano</t>
  </si>
  <si>
    <t>Harategia</t>
  </si>
  <si>
    <t>943 880 778 / 605 712 343</t>
  </si>
  <si>
    <t>carniceriaolano@gmail.com</t>
  </si>
  <si>
    <t>-2.1975800</t>
  </si>
  <si>
    <t>43.0469600</t>
  </si>
  <si>
    <t>San Martin</t>
  </si>
  <si>
    <t>943 880 070 / 639 141 137</t>
  </si>
  <si>
    <t>bereziaksanmartin@hotmail.com</t>
  </si>
  <si>
    <t>-2.1973030</t>
  </si>
  <si>
    <t>43.0476400</t>
  </si>
  <si>
    <t>43.0465470</t>
  </si>
  <si>
    <t>Iztueta esnekiak</t>
  </si>
  <si>
    <t>Vending makinak</t>
  </si>
  <si>
    <t>43.04710400</t>
  </si>
  <si>
    <t>Azoka takilak</t>
  </si>
  <si>
    <t>Klik eta jaso</t>
  </si>
  <si>
    <t>560399.80</t>
  </si>
  <si>
    <t>43.0725590</t>
  </si>
  <si>
    <t>EZKIO-ITSASO</t>
  </si>
  <si>
    <t>Itsasoko ostatua</t>
  </si>
  <si>
    <t>Ostatua</t>
  </si>
  <si>
    <t>-2.2800420</t>
  </si>
  <si>
    <t>43.0503400</t>
  </si>
  <si>
    <t>GABIRIA</t>
  </si>
  <si>
    <t>Gabiriako ostatua</t>
  </si>
  <si>
    <t>-2.1866000</t>
  </si>
  <si>
    <t>43.0337400</t>
  </si>
  <si>
    <t>Gazi-gozo</t>
  </si>
  <si>
    <t>943 106 500 / 649 244 401</t>
  </si>
  <si>
    <t>info@gazigozo.com</t>
  </si>
  <si>
    <t>-2.1877940</t>
  </si>
  <si>
    <t>43.0403030</t>
  </si>
  <si>
    <t>Biziola</t>
  </si>
  <si>
    <t>43.0318550</t>
  </si>
  <si>
    <t>-2.3330060</t>
  </si>
  <si>
    <t>43.0529400</t>
  </si>
  <si>
    <t>Mari Carmen</t>
  </si>
  <si>
    <t>Frutategia</t>
  </si>
  <si>
    <t>-2.3347960</t>
  </si>
  <si>
    <t>43.0565340</t>
  </si>
  <si>
    <t>Itziar</t>
  </si>
  <si>
    <t>-2.3347660</t>
  </si>
  <si>
    <t>43.0536490</t>
  </si>
  <si>
    <t>Katillu</t>
  </si>
  <si>
    <t>Taberna</t>
  </si>
  <si>
    <t>-2.3306760</t>
  </si>
  <si>
    <t>43.0541700</t>
  </si>
  <si>
    <t>Aitxuri</t>
  </si>
  <si>
    <t>43.0513100</t>
  </si>
  <si>
    <t>Okela</t>
  </si>
  <si>
    <t>43.0498080</t>
  </si>
  <si>
    <t>43.0318880</t>
  </si>
  <si>
    <t>OLABERRIA</t>
  </si>
  <si>
    <t>Txoko artzai gazta</t>
  </si>
  <si>
    <t>43.0275900</t>
  </si>
  <si>
    <t>Herriko ekoizleak</t>
  </si>
  <si>
    <t>-2.1824580</t>
  </si>
  <si>
    <t>43.0531380</t>
  </si>
  <si>
    <t>Goierriko baratza</t>
  </si>
  <si>
    <t>43.0537810</t>
  </si>
  <si>
    <t>-2.2561090</t>
  </si>
  <si>
    <t>43.04281900</t>
  </si>
  <si>
    <t>ORMAIZTEGI</t>
  </si>
  <si>
    <t>Iosu Murua Garmendia</t>
  </si>
  <si>
    <t>560955.60</t>
  </si>
  <si>
    <t>-2.2520200</t>
  </si>
  <si>
    <t>43.01127000</t>
  </si>
  <si>
    <t>SEGURA</t>
  </si>
  <si>
    <t>943 800 326 / 635 758 375</t>
  </si>
  <si>
    <t>-2.3173700</t>
  </si>
  <si>
    <t>43.09086000</t>
  </si>
  <si>
    <t>URRETXU</t>
  </si>
  <si>
    <t>Belarzain</t>
  </si>
  <si>
    <t>-2.3156850</t>
  </si>
  <si>
    <t>43.0920300</t>
  </si>
  <si>
    <t>Josetxo Intsausti</t>
  </si>
  <si>
    <t>-2.3148080</t>
  </si>
  <si>
    <t>43.0923510</t>
  </si>
  <si>
    <t>Aixa</t>
  </si>
  <si>
    <t>555818.70</t>
  </si>
  <si>
    <t>-2.3141540</t>
  </si>
  <si>
    <t>43.0921000</t>
  </si>
  <si>
    <t>Endaia</t>
  </si>
  <si>
    <t>Okindegia</t>
  </si>
  <si>
    <t>43.0824370</t>
  </si>
  <si>
    <t>Etxe azpi</t>
  </si>
  <si>
    <t>Jatetxea</t>
  </si>
  <si>
    <t>-2.3138710</t>
  </si>
  <si>
    <t>43.0920350</t>
  </si>
  <si>
    <t xml:space="preserve">Gernika </t>
  </si>
  <si>
    <t>43.01255000</t>
  </si>
  <si>
    <t>ZERAIN</t>
  </si>
  <si>
    <t>Herriko denda</t>
  </si>
  <si>
    <t>943 800 185</t>
  </si>
  <si>
    <t>-2.3112340</t>
  </si>
  <si>
    <t>43.09277000</t>
  </si>
  <si>
    <t>Lanbroa</t>
  </si>
  <si>
    <t>-2.3128870</t>
  </si>
  <si>
    <t>43.0912710</t>
  </si>
  <si>
    <t>Ametsa</t>
  </si>
  <si>
    <t>-2.3196680</t>
  </si>
  <si>
    <t>43.0883540</t>
  </si>
  <si>
    <t>Fernando Salegi</t>
  </si>
  <si>
    <t>555920.00</t>
  </si>
  <si>
    <t>-2.3129480</t>
  </si>
  <si>
    <t>43.0886390</t>
  </si>
  <si>
    <t>Rueda</t>
  </si>
  <si>
    <t>4770479.60</t>
  </si>
  <si>
    <t>43.0850020</t>
  </si>
  <si>
    <t>Ata</t>
  </si>
  <si>
    <t>43.0899140</t>
  </si>
  <si>
    <t>Kooperatiba</t>
  </si>
  <si>
    <t>Txilarra</t>
  </si>
  <si>
    <t>Anita</t>
  </si>
  <si>
    <t>Eitza</t>
  </si>
  <si>
    <t>Erronda gune</t>
  </si>
  <si>
    <t>Izagirre</t>
  </si>
  <si>
    <t>Sefe</t>
  </si>
  <si>
    <t>Pedro</t>
  </si>
  <si>
    <t>Amaya</t>
  </si>
  <si>
    <t>Lurdes</t>
  </si>
  <si>
    <t>Josu</t>
  </si>
  <si>
    <t>Oleta</t>
  </si>
  <si>
    <t>Arana</t>
  </si>
  <si>
    <t>Telleri baserria</t>
  </si>
  <si>
    <t>Alegiko sindikatoa</t>
  </si>
  <si>
    <t>Arrondo</t>
  </si>
  <si>
    <t>Boroa</t>
  </si>
  <si>
    <t xml:space="preserve">Goierriko Nekazal Kooperatiba </t>
  </si>
  <si>
    <t>Jabier Ugarte</t>
  </si>
  <si>
    <t>ELIKAGAI KATEGORIA</t>
  </si>
  <si>
    <t>ESNEKIAK</t>
  </si>
  <si>
    <t>HARAGIA</t>
  </si>
  <si>
    <t>OILOAK</t>
  </si>
  <si>
    <t>BARAZKIAK</t>
  </si>
  <si>
    <t>ERATORRIAK</t>
  </si>
  <si>
    <t>LEKALEAK</t>
  </si>
  <si>
    <t>ERLEAK</t>
  </si>
  <si>
    <t>FRUTA</t>
  </si>
  <si>
    <t>FRUITU LEHORRAK</t>
  </si>
  <si>
    <t>BASA FRUITUAK</t>
  </si>
  <si>
    <t>LANDAREAK</t>
  </si>
  <si>
    <t>OGIGINTZA</t>
  </si>
  <si>
    <t>EDARIAK</t>
  </si>
  <si>
    <t>SALMENTA PUNTUAK</t>
  </si>
  <si>
    <t>EKOIZTE MODELOA</t>
  </si>
  <si>
    <t>ZIGILUAK</t>
  </si>
  <si>
    <t>gid</t>
  </si>
  <si>
    <t>Jaiotze data</t>
  </si>
  <si>
    <t>Adina</t>
  </si>
  <si>
    <t>USTIATEGIAREN_IZENA</t>
  </si>
  <si>
    <t>SALMENTA MARKA</t>
  </si>
  <si>
    <t>TITULARRA</t>
  </si>
  <si>
    <t>BAIMENA</t>
  </si>
  <si>
    <t>Produktuak</t>
  </si>
  <si>
    <t>Kategoriak</t>
  </si>
  <si>
    <t>Salmenta puntua</t>
  </si>
  <si>
    <t>Ekoizte modeloa</t>
  </si>
  <si>
    <t>Behi esnea</t>
  </si>
  <si>
    <t>Ardi esnea</t>
  </si>
  <si>
    <t>Ahuntz esnea</t>
  </si>
  <si>
    <t>Behi gazta</t>
  </si>
  <si>
    <t>Ardi gazta</t>
  </si>
  <si>
    <t>Ahuntz gazta</t>
  </si>
  <si>
    <t>Iogurtak</t>
  </si>
  <si>
    <t>Irabiatuak</t>
  </si>
  <si>
    <t>Izozkiak</t>
  </si>
  <si>
    <t>Gurina</t>
  </si>
  <si>
    <t>Mamia</t>
  </si>
  <si>
    <t>Behi haragia</t>
  </si>
  <si>
    <t>Ardi haragia</t>
  </si>
  <si>
    <t>Zaldi haragia</t>
  </si>
  <si>
    <t>Txerrikiak</t>
  </si>
  <si>
    <t>Oilaskoak</t>
  </si>
  <si>
    <t>Untxi haragia</t>
  </si>
  <si>
    <t>Ahuntz haragia</t>
  </si>
  <si>
    <t>Animalia pentsua</t>
  </si>
  <si>
    <t>Arrautzak</t>
  </si>
  <si>
    <t>Barazki transformatuak</t>
  </si>
  <si>
    <t>Fruta transformatuak</t>
  </si>
  <si>
    <t>Piperminak</t>
  </si>
  <si>
    <t>Mermelada</t>
  </si>
  <si>
    <t>Membriloa</t>
  </si>
  <si>
    <t>Babarrunak</t>
  </si>
  <si>
    <t>Eztia</t>
  </si>
  <si>
    <t>Polena</t>
  </si>
  <si>
    <t>Propoleoa</t>
  </si>
  <si>
    <t>Fruta</t>
  </si>
  <si>
    <t>Garraztagarriak</t>
  </si>
  <si>
    <t>Sagarrak</t>
  </si>
  <si>
    <t>Madaria</t>
  </si>
  <si>
    <t>Gereziak</t>
  </si>
  <si>
    <t>Pikuak</t>
  </si>
  <si>
    <t>Kiwia</t>
  </si>
  <si>
    <t>Aranak</t>
  </si>
  <si>
    <t>Nashi</t>
  </si>
  <si>
    <t>Kakia</t>
  </si>
  <si>
    <t>Mahastiak</t>
  </si>
  <si>
    <t>Intxaurrak</t>
  </si>
  <si>
    <t>Urrak</t>
  </si>
  <si>
    <t>Franbuesa</t>
  </si>
  <si>
    <t>Grosella</t>
  </si>
  <si>
    <t>Ahabia</t>
  </si>
  <si>
    <t>Marrubiak</t>
  </si>
  <si>
    <t>Masustak</t>
  </si>
  <si>
    <t>Sendabelarrak</t>
  </si>
  <si>
    <t>Landareak</t>
  </si>
  <si>
    <t>Ogia</t>
  </si>
  <si>
    <t>Opilak</t>
  </si>
  <si>
    <t>Madalenak</t>
  </si>
  <si>
    <t>Pastak</t>
  </si>
  <si>
    <t>Sagardoa</t>
  </si>
  <si>
    <t>Txakolina</t>
  </si>
  <si>
    <t>Garagardoa</t>
  </si>
  <si>
    <t>Ardoa</t>
  </si>
  <si>
    <t>Zukuak</t>
  </si>
  <si>
    <t>Konbutxa</t>
  </si>
  <si>
    <t>Azokak</t>
  </si>
  <si>
    <t>Etxetik</t>
  </si>
  <si>
    <t>Dendetan</t>
  </si>
  <si>
    <t>Jatetxeetara</t>
  </si>
  <si>
    <t>Harategian</t>
  </si>
  <si>
    <t>Kontsumo taldeak</t>
  </si>
  <si>
    <t>Vending makina</t>
  </si>
  <si>
    <t>Online</t>
  </si>
  <si>
    <t>Bertatik Bertara</t>
  </si>
  <si>
    <t>Ekologikoa</t>
  </si>
  <si>
    <t>Erregeneratzailea</t>
  </si>
  <si>
    <t>Euskal Sagardoa</t>
  </si>
  <si>
    <t>DO Idiazabal</t>
  </si>
  <si>
    <t>Artzai Gazta</t>
  </si>
  <si>
    <t>569235.39</t>
  </si>
  <si>
    <t>4767732.00</t>
  </si>
  <si>
    <t>-2.149759</t>
  </si>
  <si>
    <t>43.059131</t>
  </si>
  <si>
    <t>ALTZAGA</t>
  </si>
  <si>
    <t>ABALI GOENA</t>
  </si>
  <si>
    <t>MIREN OLATZ OLANO SAN SEBASTIAN</t>
  </si>
  <si>
    <t>569250.87</t>
  </si>
  <si>
    <t>4767726.00</t>
  </si>
  <si>
    <t>-2.149570</t>
  </si>
  <si>
    <t>43.059076</t>
  </si>
  <si>
    <t>ABALI-GOENA</t>
  </si>
  <si>
    <t>MARTINA ORUEZABAL AMONDARAIN</t>
  </si>
  <si>
    <t>568858.16</t>
  </si>
  <si>
    <t>4768317.00</t>
  </si>
  <si>
    <t>-2.154319</t>
  </si>
  <si>
    <t>43.064433</t>
  </si>
  <si>
    <t>URTEBERA</t>
  </si>
  <si>
    <t>MARIA JOSE ARREGUI TELLECHEA</t>
  </si>
  <si>
    <t>X</t>
  </si>
  <si>
    <t>568050.66</t>
  </si>
  <si>
    <t>4767734.00</t>
  </si>
  <si>
    <t>-2.164307</t>
  </si>
  <si>
    <t>43.059256</t>
  </si>
  <si>
    <t>ARAMA</t>
  </si>
  <si>
    <t>AGERRE</t>
  </si>
  <si>
    <t>DOLORES MENDIZABAL GARMENDIA</t>
  </si>
  <si>
    <t>BAI</t>
  </si>
  <si>
    <t>567753.55</t>
  </si>
  <si>
    <t>4767511.00</t>
  </si>
  <si>
    <t>-2.167982</t>
  </si>
  <si>
    <t>43.057275</t>
  </si>
  <si>
    <t>AIESTA</t>
  </si>
  <si>
    <t>JAIONE IRAZUSTA JAUREGI</t>
  </si>
  <si>
    <t>568657.61</t>
  </si>
  <si>
    <t>4767451.00</t>
  </si>
  <si>
    <t>-2.156889</t>
  </si>
  <si>
    <t>43.056654</t>
  </si>
  <si>
    <t>GOIKO ETXEBERRI</t>
  </si>
  <si>
    <t>ARANTXA ZURUTUZA GOIBURU ETA BESTE BAT</t>
  </si>
  <si>
    <t>568209.55</t>
  </si>
  <si>
    <t>4768124.00</t>
  </si>
  <si>
    <t>-2.162308</t>
  </si>
  <si>
    <t>43.062754</t>
  </si>
  <si>
    <t>ITURRIOZ</t>
  </si>
  <si>
    <t>patxiarizmendi@hotmail.com</t>
  </si>
  <si>
    <t>PATXI ARIZMENDI</t>
  </si>
  <si>
    <t>568133.55</t>
  </si>
  <si>
    <t>4767933.00</t>
  </si>
  <si>
    <t>-2.163264</t>
  </si>
  <si>
    <t>43.061041</t>
  </si>
  <si>
    <t>MENDIZABAL</t>
  </si>
  <si>
    <t>mendizabal@mendizabalharagia.com</t>
  </si>
  <si>
    <t>MENDIZABAL ABELTZAINTZA EZ</t>
  </si>
  <si>
    <t>567242.94</t>
  </si>
  <si>
    <t>4761251.00</t>
  </si>
  <si>
    <t>-2.175007</t>
  </si>
  <si>
    <t>43.000955</t>
  </si>
  <si>
    <t>ATAUN</t>
  </si>
  <si>
    <t>AGERRE AUNDI</t>
  </si>
  <si>
    <t>565923.96</t>
  </si>
  <si>
    <t>4760854.00</t>
  </si>
  <si>
    <t>-2.191235</t>
  </si>
  <si>
    <t>42.997496</t>
  </si>
  <si>
    <t>ALDARRETA AZPIKOA</t>
  </si>
  <si>
    <t>AINHOA URDANGARIN LARDIZABAL ETA BESTEA</t>
  </si>
  <si>
    <t>569450.35</t>
  </si>
  <si>
    <t>4760711.00</t>
  </si>
  <si>
    <t>-2.147995</t>
  </si>
  <si>
    <t>42.995894</t>
  </si>
  <si>
    <t>ALEI-BERRI</t>
  </si>
  <si>
    <t>JOSE FRANCISCO BARANDIARAN AIERDI</t>
  </si>
  <si>
    <t>568875.68</t>
  </si>
  <si>
    <t>4761157.00</t>
  </si>
  <si>
    <t>-2.154989</t>
  </si>
  <si>
    <t>42.999962</t>
  </si>
  <si>
    <t>AMILLETA</t>
  </si>
  <si>
    <t>GARIKOITZ BARANDIARAN SAGASTUME</t>
  </si>
  <si>
    <t>566290.69</t>
  </si>
  <si>
    <t>4761812.00</t>
  </si>
  <si>
    <t>-2.186622</t>
  </si>
  <si>
    <t>43.006090</t>
  </si>
  <si>
    <t>AMUÑAIN</t>
  </si>
  <si>
    <t>566195.32</t>
  </si>
  <si>
    <t>4762045.00</t>
  </si>
  <si>
    <t>-2.187765</t>
  </si>
  <si>
    <t>43.008196</t>
  </si>
  <si>
    <t>AMUNAIN GARAKOA</t>
  </si>
  <si>
    <t>569617.15</t>
  </si>
  <si>
    <t>4760666.00</t>
  </si>
  <si>
    <t>-2.145954</t>
  </si>
  <si>
    <t>42.995474</t>
  </si>
  <si>
    <t>ARALEGI-GOIKOA</t>
  </si>
  <si>
    <t>MARIA CRISTINA OLANO ARREGI</t>
  </si>
  <si>
    <t>567235.48</t>
  </si>
  <si>
    <t>4761823.00</t>
  </si>
  <si>
    <t>-2.175030</t>
  </si>
  <si>
    <t>43.006106</t>
  </si>
  <si>
    <t>ARANBERRI</t>
  </si>
  <si>
    <t>troskaetaez@gmail.com</t>
  </si>
  <si>
    <t>TROSKAETA ELKARTE ZIBILA</t>
  </si>
  <si>
    <t>566620.09</t>
  </si>
  <si>
    <t>4759895.00</t>
  </si>
  <si>
    <t>-2.182810</t>
  </si>
  <si>
    <t>42.988800</t>
  </si>
  <si>
    <t>ARIN HANDI</t>
  </si>
  <si>
    <t>567724.36</t>
  </si>
  <si>
    <t>4757019.00</t>
  </si>
  <si>
    <t>-2.169614</t>
  </si>
  <si>
    <t>42.962806</t>
  </si>
  <si>
    <t>ATXURRENA</t>
  </si>
  <si>
    <t>JUAN ANTONIO ZEBERIO ARANZASTI</t>
  </si>
  <si>
    <t>567439.37</t>
  </si>
  <si>
    <t>4762694.00</t>
  </si>
  <si>
    <t>-2.172423</t>
  </si>
  <si>
    <t>43.013930</t>
  </si>
  <si>
    <t>BARANDIARAN HAUNDI</t>
  </si>
  <si>
    <t>567143.07</t>
  </si>
  <si>
    <t>4761875.65</t>
  </si>
  <si>
    <t>-2.176157</t>
  </si>
  <si>
    <t>43.006588</t>
  </si>
  <si>
    <t>BORDA ALOSKA</t>
  </si>
  <si>
    <t>KOLDO KEREJETA AIERBE</t>
  </si>
  <si>
    <t>564711.18</t>
  </si>
  <si>
    <t>4758836.00</t>
  </si>
  <si>
    <t>-2.206346</t>
  </si>
  <si>
    <t>42.979429</t>
  </si>
  <si>
    <t>BORDA GAZTELU</t>
  </si>
  <si>
    <t>AINHOA URDANGARIN LARDIZABAL</t>
  </si>
  <si>
    <t>567059.53</t>
  </si>
  <si>
    <t>4759988.00</t>
  </si>
  <si>
    <t>-2.177409</t>
  </si>
  <si>
    <t>42.989599</t>
  </si>
  <si>
    <t>ESKISABEL</t>
  </si>
  <si>
    <t>JULEN HERGUEDAS AIERBE</t>
  </si>
  <si>
    <t>566818.47</t>
  </si>
  <si>
    <t>4760482.00</t>
  </si>
  <si>
    <t>-2.180306</t>
  </si>
  <si>
    <t>42.994068</t>
  </si>
  <si>
    <t>ESPILLA</t>
  </si>
  <si>
    <t>MARIA PILAR ESKISABEL IZAGIRRE</t>
  </si>
  <si>
    <t>568920.60</t>
  </si>
  <si>
    <t>4757365.00</t>
  </si>
  <si>
    <t>-2.154906</t>
  </si>
  <si>
    <t>42.965814</t>
  </si>
  <si>
    <t>ETXEBERRI</t>
  </si>
  <si>
    <t>JOSE LUIS URDANGARIN BEGIRISTAIN</t>
  </si>
  <si>
    <t>566446.91</t>
  </si>
  <si>
    <t>4760836.00</t>
  </si>
  <si>
    <t>-2.184822</t>
  </si>
  <si>
    <t>42.997288</t>
  </si>
  <si>
    <t>GARAGARZA</t>
  </si>
  <si>
    <t>ARANTZA GARMENDIA ALUSTIZA</t>
  </si>
  <si>
    <t>567401.19</t>
  </si>
  <si>
    <t>4761647.00</t>
  </si>
  <si>
    <t>-2.173018</t>
  </si>
  <si>
    <t>43.004506</t>
  </si>
  <si>
    <t>HAITZ ONDO</t>
  </si>
  <si>
    <t>aiztondom@gmail.com</t>
  </si>
  <si>
    <t>MARIANO IMAZ ETXEBERRIA</t>
  </si>
  <si>
    <t>568457.27</t>
  </si>
  <si>
    <t>4757783.00</t>
  </si>
  <si>
    <t>-2.160535</t>
  </si>
  <si>
    <t>42.969620</t>
  </si>
  <si>
    <t>IBERONDO</t>
  </si>
  <si>
    <t>JUAN MIGUEL BEGIRISTAIN BARANDIARAN</t>
  </si>
  <si>
    <t>566059.08</t>
  </si>
  <si>
    <t>4759150.00</t>
  </si>
  <si>
    <t>-2.189779</t>
  </si>
  <si>
    <t>42.982141</t>
  </si>
  <si>
    <t>IGARTZATE</t>
  </si>
  <si>
    <t>igartzateberri@gmail.com</t>
  </si>
  <si>
    <t>IGARTZATE SC</t>
  </si>
  <si>
    <t>MARIA IDOIA ARREGI ZIA</t>
  </si>
  <si>
    <t>565310.49</t>
  </si>
  <si>
    <t>4759193.00</t>
  </si>
  <si>
    <t>-2.198954</t>
  </si>
  <si>
    <t>42.982592</t>
  </si>
  <si>
    <t>564979.82</t>
  </si>
  <si>
    <t>4759732.00</t>
  </si>
  <si>
    <t>-2.202947</t>
  </si>
  <si>
    <t>42.987474</t>
  </si>
  <si>
    <t>ITURTXO</t>
  </si>
  <si>
    <t>LUCIO GOIKOETXEA GOIKOETXEA</t>
  </si>
  <si>
    <t>567939.32</t>
  </si>
  <si>
    <t>4757238.00</t>
  </si>
  <si>
    <t>-2.166952</t>
  </si>
  <si>
    <t>42.964759</t>
  </si>
  <si>
    <t>JUANA-ENEA</t>
  </si>
  <si>
    <t>MARIA CRISTINA ARRATIBEL ARZA</t>
  </si>
  <si>
    <t>566300.34</t>
  </si>
  <si>
    <t>4758649.00</t>
  </si>
  <si>
    <t>-2.186879</t>
  </si>
  <si>
    <t>42.977609</t>
  </si>
  <si>
    <t>LAUZTI AZPIKOA</t>
  </si>
  <si>
    <t>565123.09</t>
  </si>
  <si>
    <t>4758410.00</t>
  </si>
  <si>
    <t>-2.201344</t>
  </si>
  <si>
    <t>42.975558</t>
  </si>
  <si>
    <t>LAUZTITURRIETA</t>
  </si>
  <si>
    <t>LAUZTITURRIETA ELKARTEA SOCIEDAD CIVIL</t>
  </si>
  <si>
    <t>568936.77</t>
  </si>
  <si>
    <t>4760983.00</t>
  </si>
  <si>
    <t>-2.154261</t>
  </si>
  <si>
    <t>42.998390</t>
  </si>
  <si>
    <t>MUNTXOETA</t>
  </si>
  <si>
    <t>MIKEL SUKIA BARANDIARAN</t>
  </si>
  <si>
    <t>566576.07</t>
  </si>
  <si>
    <t>4760079.00</t>
  </si>
  <si>
    <t>-2.183328</t>
  </si>
  <si>
    <t>42.990461</t>
  </si>
  <si>
    <t>OLATZA</t>
  </si>
  <si>
    <t>JON MIKEL ZEBERIO ETXEBERRIA</t>
  </si>
  <si>
    <t>567018.71</t>
  </si>
  <si>
    <t>4763048.00</t>
  </si>
  <si>
    <t>-2.177542</t>
  </si>
  <si>
    <t>43.017155</t>
  </si>
  <si>
    <t>OTADI-ZELAI</t>
  </si>
  <si>
    <t>JESUSA MAIZ GALPARSORO</t>
  </si>
  <si>
    <t>567280.17</t>
  </si>
  <si>
    <t>4757239.00</t>
  </si>
  <si>
    <t>-2.175034</t>
  </si>
  <si>
    <t>42.964827</t>
  </si>
  <si>
    <t>SARIARTE AZPIKOA</t>
  </si>
  <si>
    <t>567434.25</t>
  </si>
  <si>
    <t>4757171.00</t>
  </si>
  <si>
    <t>-2.173153</t>
  </si>
  <si>
    <t>42.964201</t>
  </si>
  <si>
    <t>SARIARTE GARAKOA</t>
  </si>
  <si>
    <t>JUANA LUCAS ARZA</t>
  </si>
  <si>
    <t>564632.28</t>
  </si>
  <si>
    <t>4759714.00</t>
  </si>
  <si>
    <t>-2.207212</t>
  </si>
  <si>
    <t>42.987342</t>
  </si>
  <si>
    <t>SOROTXOETA</t>
  </si>
  <si>
    <t>JOSE MARIA GOIKOETXEA LEGORBURU</t>
  </si>
  <si>
    <t>565557.72</t>
  </si>
  <si>
    <t>4758518.00</t>
  </si>
  <si>
    <t>-2.196002</t>
  </si>
  <si>
    <t>42.976493</t>
  </si>
  <si>
    <t>TELLETXEA</t>
  </si>
  <si>
    <t>LUCIO ALDASORO AIERBE</t>
  </si>
  <si>
    <t>566424.05</t>
  </si>
  <si>
    <t>4761135.00</t>
  </si>
  <si>
    <t>-2.185067</t>
  </si>
  <si>
    <t>42.999982</t>
  </si>
  <si>
    <t>URDANGARIN TXIKI BASERRIA</t>
  </si>
  <si>
    <t>AITOR TATO IMAZ</t>
  </si>
  <si>
    <t>565781.02</t>
  </si>
  <si>
    <t>4759931.00</t>
  </si>
  <si>
    <t>-2.193097</t>
  </si>
  <si>
    <t>42.989197</t>
  </si>
  <si>
    <t>ZUAGA BASERRIA</t>
  </si>
  <si>
    <t>IÑAKI GOITIA ITURRIOZ</t>
  </si>
  <si>
    <t>564762.12</t>
  </si>
  <si>
    <t>4767229.00</t>
  </si>
  <si>
    <t>-2.204746</t>
  </si>
  <si>
    <t>43.054997</t>
  </si>
  <si>
    <t>ABAIZKETA GOIKOA</t>
  </si>
  <si>
    <t>LUIS TELLERIA GAINZA</t>
  </si>
  <si>
    <t>564769.82</t>
  </si>
  <si>
    <t>4767178.00</t>
  </si>
  <si>
    <t>-2.204658</t>
  </si>
  <si>
    <t>43.054537</t>
  </si>
  <si>
    <t>ABARIZKETA</t>
  </si>
  <si>
    <t>ESTEBAN ARANBURU GOITIA</t>
  </si>
  <si>
    <t>564590.41</t>
  </si>
  <si>
    <t>4766598.00</t>
  </si>
  <si>
    <t>-2.206928</t>
  </si>
  <si>
    <t>43.049330</t>
  </si>
  <si>
    <t>AGERRE HAUNDI</t>
  </si>
  <si>
    <t>KOLDO AGIRRE MUJIKA</t>
  </si>
  <si>
    <t>563669.36</t>
  </si>
  <si>
    <t>4766954.00</t>
  </si>
  <si>
    <t>-2.218195</t>
  </si>
  <si>
    <t>43.052613</t>
  </si>
  <si>
    <t>AIERDI</t>
  </si>
  <si>
    <t>AIERDI SOCIEDAD CIVIL</t>
  </si>
  <si>
    <t>565187.57</t>
  </si>
  <si>
    <t>4766586.00</t>
  </si>
  <si>
    <t>-2.199598</t>
  </si>
  <si>
    <t>43.049171</t>
  </si>
  <si>
    <t>AIZMENDI</t>
  </si>
  <si>
    <t>XABIER OTEGI ARRIETA</t>
  </si>
  <si>
    <t>565036.39</t>
  </si>
  <si>
    <t>4765522.00</t>
  </si>
  <si>
    <t>-2.201578</t>
  </si>
  <si>
    <t>43.039604</t>
  </si>
  <si>
    <t>ALTAMIRA</t>
  </si>
  <si>
    <t>EDURNE LAZCANO ZALDUA Y OTRO SC</t>
  </si>
  <si>
    <t>563070.06</t>
  </si>
  <si>
    <t>4769293.00</t>
  </si>
  <si>
    <t>-2.225288</t>
  </si>
  <si>
    <t>43.073724</t>
  </si>
  <si>
    <t>ARGOIN ZAHAR</t>
  </si>
  <si>
    <t>561849.50</t>
  </si>
  <si>
    <t>4770325.00</t>
  </si>
  <si>
    <t>-2.240165</t>
  </si>
  <si>
    <t>43.083117</t>
  </si>
  <si>
    <t>ARREGI GOENA</t>
  </si>
  <si>
    <t>564342.12</t>
  </si>
  <si>
    <t>4767344.00</t>
  </si>
  <si>
    <t>-2.209890</t>
  </si>
  <si>
    <t>43.056068</t>
  </si>
  <si>
    <t>ARRIETA</t>
  </si>
  <si>
    <t>564744.00</t>
  </si>
  <si>
    <t>4765803.00</t>
  </si>
  <si>
    <t>-2.205135</t>
  </si>
  <si>
    <t>43.042159</t>
  </si>
  <si>
    <t>ATARI EDER</t>
  </si>
  <si>
    <t>JOSU TXINTXURRETA AIERBE</t>
  </si>
  <si>
    <t>564978.57</t>
  </si>
  <si>
    <t>4766978.00</t>
  </si>
  <si>
    <t>-2.202118</t>
  </si>
  <si>
    <t>43.052719</t>
  </si>
  <si>
    <t>BASARTE GOIKOA</t>
  </si>
  <si>
    <t>561907.52</t>
  </si>
  <si>
    <t>4770337.00</t>
  </si>
  <si>
    <t>-2.239451</t>
  </si>
  <si>
    <t>43.083220</t>
  </si>
  <si>
    <t>DORRONSOROTEGI</t>
  </si>
  <si>
    <t>562995.80</t>
  </si>
  <si>
    <t>4769768.00</t>
  </si>
  <si>
    <t>-2.226147</t>
  </si>
  <si>
    <t>43.078007</t>
  </si>
  <si>
    <t>ERDIKO ETXE</t>
  </si>
  <si>
    <t>563724.60</t>
  </si>
  <si>
    <t>4770366.00</t>
  </si>
  <si>
    <t>-2.217126</t>
  </si>
  <si>
    <t>43.083331</t>
  </si>
  <si>
    <t>ETXEBERRIETA ELKARTEA</t>
  </si>
  <si>
    <t>etxeberrieta@gmail.com</t>
  </si>
  <si>
    <t>558350.65</t>
  </si>
  <si>
    <t>4770499.00</t>
  </si>
  <si>
    <t>-2.283127</t>
  </si>
  <si>
    <t>43.084961</t>
  </si>
  <si>
    <t>GARIN ARRESE</t>
  </si>
  <si>
    <t>563042.21</t>
  </si>
  <si>
    <t>4769814.00</t>
  </si>
  <si>
    <t>-2.225571</t>
  </si>
  <si>
    <t>43.078418</t>
  </si>
  <si>
    <t>GARIN ARRESE 2</t>
  </si>
  <si>
    <t>562112.25</t>
  </si>
  <si>
    <t>4767354.00</t>
  </si>
  <si>
    <t>-2.237269</t>
  </si>
  <si>
    <t>43.056344</t>
  </si>
  <si>
    <t>IBARRE</t>
  </si>
  <si>
    <t>565286.32</t>
  </si>
  <si>
    <t>4767559.00</t>
  </si>
  <si>
    <t>-2.198271</t>
  </si>
  <si>
    <t>43.057924</t>
  </si>
  <si>
    <t>IMITEGI</t>
  </si>
  <si>
    <t>JOSE MARIA PEÑAGARIKANO GARIN</t>
  </si>
  <si>
    <t>562338.19</t>
  </si>
  <si>
    <t>4770424.00</t>
  </si>
  <si>
    <t>-2.234150</t>
  </si>
  <si>
    <t>43.083968</t>
  </si>
  <si>
    <t>INTSAUSTI</t>
  </si>
  <si>
    <t>561685.54</t>
  </si>
  <si>
    <t>4772692.00</t>
  </si>
  <si>
    <t>-2.241916</t>
  </si>
  <si>
    <t>43.104443</t>
  </si>
  <si>
    <t>ITURRALDE</t>
  </si>
  <si>
    <t>562231.68</t>
  </si>
  <si>
    <t>4767930.00</t>
  </si>
  <si>
    <t>-2.235738</t>
  </si>
  <si>
    <t>43.061521</t>
  </si>
  <si>
    <t>ITURRITZA</t>
  </si>
  <si>
    <t>562279.58</t>
  </si>
  <si>
    <t>4767214.00</t>
  </si>
  <si>
    <t>-2.235230</t>
  </si>
  <si>
    <t>43.055070</t>
  </si>
  <si>
    <t>LEKU BERRI</t>
  </si>
  <si>
    <t>561992.50</t>
  </si>
  <si>
    <t>4766464.00</t>
  </si>
  <si>
    <t>-2.238838</t>
  </si>
  <si>
    <t>43.048340</t>
  </si>
  <si>
    <t>MALPA</t>
  </si>
  <si>
    <t>ANTONIO BERBEL PEREZ</t>
  </si>
  <si>
    <t>561961.04</t>
  </si>
  <si>
    <t>4768158.00</t>
  </si>
  <si>
    <t>-2.239036</t>
  </si>
  <si>
    <t>43.063596</t>
  </si>
  <si>
    <t>OLEA</t>
  </si>
  <si>
    <t>561953.06</t>
  </si>
  <si>
    <t>4772102.00</t>
  </si>
  <si>
    <t>-2.238694</t>
  </si>
  <si>
    <t>43.099109</t>
  </si>
  <si>
    <t>OTO BARRENA, 17</t>
  </si>
  <si>
    <t>562081.47</t>
  </si>
  <si>
    <t>4772077.00</t>
  </si>
  <si>
    <t>-2.237119</t>
  </si>
  <si>
    <t>43.098873</t>
  </si>
  <si>
    <t>OTO ERDI</t>
  </si>
  <si>
    <t>ION URKIOLA ZUBILLAGA</t>
  </si>
  <si>
    <t>562016.33</t>
  </si>
  <si>
    <t>4772024.00</t>
  </si>
  <si>
    <t>-2.237926</t>
  </si>
  <si>
    <t>43.098401</t>
  </si>
  <si>
    <t>OTO-ERRIPA</t>
  </si>
  <si>
    <t>IGNACIO ETXEZARRETA LANDA</t>
  </si>
  <si>
    <t>563868.78</t>
  </si>
  <si>
    <t>4772320.00</t>
  </si>
  <si>
    <t>-2.215130</t>
  </si>
  <si>
    <t>43.100913</t>
  </si>
  <si>
    <t>PAGORRIAGA BASERRIA</t>
  </si>
  <si>
    <t>pagorriaga@gmail.com</t>
  </si>
  <si>
    <t>AGUSTIN LINAZASORO USABIAGA</t>
  </si>
  <si>
    <t>565508.85</t>
  </si>
  <si>
    <t>4767434.00</t>
  </si>
  <si>
    <t>-2.195554</t>
  </si>
  <si>
    <t>43.056779</t>
  </si>
  <si>
    <t>SALETE</t>
  </si>
  <si>
    <t>XABIER LASA ARRIETA</t>
  </si>
  <si>
    <t>565749.68</t>
  </si>
  <si>
    <t>4767492.00</t>
  </si>
  <si>
    <t>-2.192590</t>
  </si>
  <si>
    <t>43.057280</t>
  </si>
  <si>
    <t>SAN ANDRES</t>
  </si>
  <si>
    <t>565637.52</t>
  </si>
  <si>
    <t>4765935.00</t>
  </si>
  <si>
    <t>-2.194150</t>
  </si>
  <si>
    <t>43.043271</t>
  </si>
  <si>
    <t>UGARTEMENDI</t>
  </si>
  <si>
    <t>UGARTEMENDI ELKARTEA SC</t>
  </si>
  <si>
    <t>560728.17</t>
  </si>
  <si>
    <t>4767692.00</t>
  </si>
  <si>
    <t>-2.254227</t>
  </si>
  <si>
    <t>43.059500</t>
  </si>
  <si>
    <t>ALBITXU BEKOA</t>
  </si>
  <si>
    <t>albitxubaserria@gmail.com</t>
  </si>
  <si>
    <t>MIRIAM OTAMENDI ITOIZ</t>
  </si>
  <si>
    <t>561199.93</t>
  </si>
  <si>
    <t>4772779.00</t>
  </si>
  <si>
    <t>-2.247874</t>
  </si>
  <si>
    <t>43.105266</t>
  </si>
  <si>
    <t>ALTZORBE</t>
  </si>
  <si>
    <t>557686.57</t>
  </si>
  <si>
    <t>4769820.00</t>
  </si>
  <si>
    <t>-2.291356</t>
  </si>
  <si>
    <t>43.078898</t>
  </si>
  <si>
    <t>ARANE</t>
  </si>
  <si>
    <t>arane1974@gmail.com</t>
  </si>
  <si>
    <t>559972.07</t>
  </si>
  <si>
    <t>4767463.00</t>
  </si>
  <si>
    <t>-2.263536</t>
  </si>
  <si>
    <t>43.057498</t>
  </si>
  <si>
    <t>ATXUSAIN</t>
  </si>
  <si>
    <t>MARIA CARMEN LOPEZ JUARISTI</t>
  </si>
  <si>
    <t>BARRETXE</t>
  </si>
  <si>
    <t>JOSE RAMON UNZURRUNZAGA IURREBASO</t>
  </si>
  <si>
    <t>557976.18</t>
  </si>
  <si>
    <t>4771638.00</t>
  </si>
  <si>
    <t>-2.287609</t>
  </si>
  <si>
    <t>43.095246</t>
  </si>
  <si>
    <t>BERROETA</t>
  </si>
  <si>
    <t>BERROETA SC</t>
  </si>
  <si>
    <t>560822.54</t>
  </si>
  <si>
    <t>4767848.00</t>
  </si>
  <si>
    <t>-2.253051</t>
  </si>
  <si>
    <t>43.060897</t>
  </si>
  <si>
    <t>ESTALA GOIKOA</t>
  </si>
  <si>
    <t>MARIA JESUS ORIA LOPETEGI</t>
  </si>
  <si>
    <t>558382.83</t>
  </si>
  <si>
    <t>4769608.00</t>
  </si>
  <si>
    <t>-2.282826</t>
  </si>
  <si>
    <t>43.076936</t>
  </si>
  <si>
    <t>GARAION</t>
  </si>
  <si>
    <t>943724568 / 619446871</t>
  </si>
  <si>
    <t>lurdesalbistur.4@hotmail.com</t>
  </si>
  <si>
    <t>IÑAKI ALBERDI ARANBURU</t>
  </si>
  <si>
    <t>?</t>
  </si>
  <si>
    <t>559628.84</t>
  </si>
  <si>
    <t>4768244.00</t>
  </si>
  <si>
    <t>-2.267667</t>
  </si>
  <si>
    <t>43.064557</t>
  </si>
  <si>
    <t>HARIZTIZABAL</t>
  </si>
  <si>
    <t>943 16 19 45 / 688654315</t>
  </si>
  <si>
    <t>kepabet3@gmail.com</t>
  </si>
  <si>
    <t>KEPA SOLANA ARRONDO</t>
  </si>
  <si>
    <t>561487.67</t>
  </si>
  <si>
    <t>4772117.00</t>
  </si>
  <si>
    <t>-2.244411</t>
  </si>
  <si>
    <t>43.099282</t>
  </si>
  <si>
    <t>ITSASO ERROTA</t>
  </si>
  <si>
    <t>561453.63</t>
  </si>
  <si>
    <t>4770762.00</t>
  </si>
  <si>
    <t>-2.244979</t>
  </si>
  <si>
    <t>43.087084</t>
  </si>
  <si>
    <t>MANDUBIKO BENTA</t>
  </si>
  <si>
    <t>560383.87</t>
  </si>
  <si>
    <t>4769049.00</t>
  </si>
  <si>
    <t>-2.258307</t>
  </si>
  <si>
    <t>43.071746</t>
  </si>
  <si>
    <t>ORI</t>
  </si>
  <si>
    <t>558989.88</t>
  </si>
  <si>
    <t>4769821.00</t>
  </si>
  <si>
    <t>-2.275346</t>
  </si>
  <si>
    <t>43.078807</t>
  </si>
  <si>
    <t>PAGOAGA</t>
  </si>
  <si>
    <t>MAITE SALSAMENDI ASTIASARAN</t>
  </si>
  <si>
    <t>557759.77</t>
  </si>
  <si>
    <t>4770354.00</t>
  </si>
  <si>
    <t>-2.290401</t>
  </si>
  <si>
    <t>43.083701</t>
  </si>
  <si>
    <t>JOSE MARIA ARANBURU LASA</t>
  </si>
  <si>
    <t>560783.45</t>
  </si>
  <si>
    <t>4772041.00</t>
  </si>
  <si>
    <t>-2.253073</t>
  </si>
  <si>
    <t>43.098654</t>
  </si>
  <si>
    <t>TXANTXO ERREKA</t>
  </si>
  <si>
    <t>559505.86</t>
  </si>
  <si>
    <t>4767784.00</t>
  </si>
  <si>
    <t>-2.269226</t>
  </si>
  <si>
    <t>43.060425</t>
  </si>
  <si>
    <t>URIBAR</t>
  </si>
  <si>
    <t>DENIS AIERBE VILA</t>
  </si>
  <si>
    <t>560731.76</t>
  </si>
  <si>
    <t>4768134.00</t>
  </si>
  <si>
    <t>-2.254135</t>
  </si>
  <si>
    <t>43.063479</t>
  </si>
  <si>
    <t>gorkasasieta@gmail.com</t>
  </si>
  <si>
    <t>GORKA SASIETA BARRENETXEA</t>
  </si>
  <si>
    <t>559289.50</t>
  </si>
  <si>
    <t>4769949.00</t>
  </si>
  <si>
    <t>-2.271652</t>
  </si>
  <si>
    <t>43.079936</t>
  </si>
  <si>
    <t>URRUTI</t>
  </si>
  <si>
    <t>560155.94</t>
  </si>
  <si>
    <t>4773102.00</t>
  </si>
  <si>
    <t>-2.260668</t>
  </si>
  <si>
    <t>43.108258</t>
  </si>
  <si>
    <t>ZEARIAGA</t>
  </si>
  <si>
    <t>JAVIER URBISTONDO PLAZAOLA</t>
  </si>
  <si>
    <t>558497.60</t>
  </si>
  <si>
    <t>4770834.00</t>
  </si>
  <si>
    <t>-2.281287</t>
  </si>
  <si>
    <t>43.087966</t>
  </si>
  <si>
    <t>ZELA</t>
  </si>
  <si>
    <t>634436931 / 671173172</t>
  </si>
  <si>
    <t>enzabaleta@gmail.com</t>
  </si>
  <si>
    <t>ROSA MARIA LASA JAUREGIALZO / ENEKO</t>
  </si>
  <si>
    <t>559871.68</t>
  </si>
  <si>
    <t>4766910.00</t>
  </si>
  <si>
    <t>-2.264828</t>
  </si>
  <si>
    <t>43.052526</t>
  </si>
  <si>
    <t>AGERRI BERRI BEHEKOA</t>
  </si>
  <si>
    <t>559818.66</t>
  </si>
  <si>
    <t>4767194.00</t>
  </si>
  <si>
    <t>-2.265449</t>
  </si>
  <si>
    <t>43.055088</t>
  </si>
  <si>
    <t>ALTZIBAR</t>
  </si>
  <si>
    <t>559817.00</t>
  </si>
  <si>
    <t>-2.265469</t>
  </si>
  <si>
    <t>ALTZIBAR MINTEGIAK</t>
  </si>
  <si>
    <t>info@altzibar.com</t>
  </si>
  <si>
    <t>557335.29</t>
  </si>
  <si>
    <t>4765421.00</t>
  </si>
  <si>
    <t>-2.296124</t>
  </si>
  <si>
    <t>43.039315</t>
  </si>
  <si>
    <t>ARGINDEGI</t>
  </si>
  <si>
    <t>559041.58</t>
  </si>
  <si>
    <t>4765666.00</t>
  </si>
  <si>
    <t>-2.275152</t>
  </si>
  <si>
    <t>43.041390</t>
  </si>
  <si>
    <t>ASTISAIN</t>
  </si>
  <si>
    <t>JON ANDER ELGARRESTA ASURABARRENA</t>
  </si>
  <si>
    <t>x</t>
  </si>
  <si>
    <t>558198.61</t>
  </si>
  <si>
    <t>4766400.00</t>
  </si>
  <si>
    <t>-2.285424</t>
  </si>
  <si>
    <t>43.048064</t>
  </si>
  <si>
    <t>BAZTARRIKA</t>
  </si>
  <si>
    <t>baztarrika@artzai-gazta.eus</t>
  </si>
  <si>
    <t>www.baztarrika.com</t>
  </si>
  <si>
    <t>557455.21</t>
  </si>
  <si>
    <t>4765330.00</t>
  </si>
  <si>
    <t>-2.294661</t>
  </si>
  <si>
    <t>43.038486</t>
  </si>
  <si>
    <t>BEKO ETXE</t>
  </si>
  <si>
    <t>943161137 / 666650000</t>
  </si>
  <si>
    <t>ANTONIA MURGIONDO ALUSTIZA</t>
  </si>
  <si>
    <t>558454.69</t>
  </si>
  <si>
    <t>4765957.00</t>
  </si>
  <si>
    <t>-2.282326</t>
  </si>
  <si>
    <t>43.044056</t>
  </si>
  <si>
    <t>EGUZKITZA</t>
  </si>
  <si>
    <t>557829.92</t>
  </si>
  <si>
    <t>4766334.00</t>
  </si>
  <si>
    <t>-2.289957</t>
  </si>
  <si>
    <t>43.047498</t>
  </si>
  <si>
    <t>IDAR AZPI</t>
  </si>
  <si>
    <t>554992.34</t>
  </si>
  <si>
    <t>4767646.00</t>
  </si>
  <si>
    <t>-2.324665</t>
  </si>
  <si>
    <t>43.059523</t>
  </si>
  <si>
    <t>IRAZOLA</t>
  </si>
  <si>
    <t>JOSE LUIS URIBETXEBERRIA ZABALETA</t>
  </si>
  <si>
    <t>IRAZUOLA</t>
  </si>
  <si>
    <t>557368.01</t>
  </si>
  <si>
    <t>4767217.00</t>
  </si>
  <si>
    <t>-2.295537</t>
  </si>
  <si>
    <t>43.055484</t>
  </si>
  <si>
    <t>IZAR ERDIKOA</t>
  </si>
  <si>
    <t>IGNACIO MARIA ZUMALAKARREGI GALDOS</t>
  </si>
  <si>
    <t>557860.69</t>
  </si>
  <si>
    <t>4766662.00</t>
  </si>
  <si>
    <t>-2.289545</t>
  </si>
  <si>
    <t>43.050449</t>
  </si>
  <si>
    <t>IZAR HAUNDI</t>
  </si>
  <si>
    <t>LUIS MARIA MURUA ZUMALAKARREGI</t>
  </si>
  <si>
    <t>557725.09</t>
  </si>
  <si>
    <t>4766072.00</t>
  </si>
  <si>
    <t>-2.291271</t>
  </si>
  <si>
    <t>43.045147</t>
  </si>
  <si>
    <t>KATARAIN</t>
  </si>
  <si>
    <t>kataraingoproduktuak@gmail.com</t>
  </si>
  <si>
    <t>PEDRO DOMINGO IZTUETA ARRIOLA</t>
  </si>
  <si>
    <t>558777.91</t>
  </si>
  <si>
    <t>4765493.65</t>
  </si>
  <si>
    <t>-2.278407</t>
  </si>
  <si>
    <t>43.039858</t>
  </si>
  <si>
    <t>LANDABERRI ETXEA</t>
  </si>
  <si>
    <t>landaberri4@gmail.com / naiaragabiria@gmail.com</t>
  </si>
  <si>
    <t>NEKANE AGIRRE AMIANO</t>
  </si>
  <si>
    <t>Bai</t>
  </si>
  <si>
    <t>555905.91</t>
  </si>
  <si>
    <t>4765110.00</t>
  </si>
  <si>
    <t>-2.313702</t>
  </si>
  <si>
    <t>43.036621</t>
  </si>
  <si>
    <t>LEGORBURU</t>
  </si>
  <si>
    <t>943733250 / 617940253</t>
  </si>
  <si>
    <t>JOSE BENITO DEBA ARRIOLA</t>
  </si>
  <si>
    <t>556912.19</t>
  </si>
  <si>
    <t>4767138.00</t>
  </si>
  <si>
    <t>-2.301142</t>
  </si>
  <si>
    <t>43.054807</t>
  </si>
  <si>
    <t>MANDIOLA</t>
  </si>
  <si>
    <t>AGAPITO AZAROLA GEREÃ‘U</t>
  </si>
  <si>
    <t>557259.51</t>
  </si>
  <si>
    <t>4767649.00</t>
  </si>
  <si>
    <t>-2.296825</t>
  </si>
  <si>
    <t>43.059382</t>
  </si>
  <si>
    <t>NOARE ETXEBERRI</t>
  </si>
  <si>
    <t>699193116/635732094</t>
  </si>
  <si>
    <t>msaez74@gmail.com</t>
  </si>
  <si>
    <t>JUAN RAMON ARAMENDI LAZKANO</t>
  </si>
  <si>
    <t>557331.15</t>
  </si>
  <si>
    <t>4766697.00</t>
  </si>
  <si>
    <t>-2.296043</t>
  </si>
  <si>
    <t>43.050804</t>
  </si>
  <si>
    <t>OÑATIBI TXIKI</t>
  </si>
  <si>
    <t>jelosegiagirrezabala@gmail.com</t>
  </si>
  <si>
    <t>JOSE ANTONIO ELOSEGI AGIRREZABALA</t>
  </si>
  <si>
    <t>558043.25</t>
  </si>
  <si>
    <t>4768684.00</t>
  </si>
  <si>
    <t>-2.287093</t>
  </si>
  <si>
    <t>43.068642</t>
  </si>
  <si>
    <t>URKIOLA</t>
  </si>
  <si>
    <t>943724399 / 609744624</t>
  </si>
  <si>
    <t>aikermek@telefonica.net</t>
  </si>
  <si>
    <t>IÑAKI ARRATIBEL</t>
  </si>
  <si>
    <t>555297.34</t>
  </si>
  <si>
    <t>4766789.90</t>
  </si>
  <si>
    <t>-2.321005</t>
  </si>
  <si>
    <t>43.051792</t>
  </si>
  <si>
    <t>VILLA DAMATA</t>
  </si>
  <si>
    <t>558274.37</t>
  </si>
  <si>
    <t>4767319.00</t>
  </si>
  <si>
    <t>-2.284398</t>
  </si>
  <si>
    <t>43.056333</t>
  </si>
  <si>
    <t>ZANTAGOITI</t>
  </si>
  <si>
    <t>ANDER KEREXETA LIZARAZU</t>
  </si>
  <si>
    <t>558284.20</t>
  </si>
  <si>
    <t>4767287.00</t>
  </si>
  <si>
    <t>-2.284280</t>
  </si>
  <si>
    <t>43.056044</t>
  </si>
  <si>
    <t>ZANTAGOITI BEHEKOA</t>
  </si>
  <si>
    <t>557395.60</t>
  </si>
  <si>
    <t>4766807.00</t>
  </si>
  <si>
    <t>-2.295241</t>
  </si>
  <si>
    <t>43.051790</t>
  </si>
  <si>
    <t>ZUAZOLA AZPIKOA (KORTA)</t>
  </si>
  <si>
    <t>BORJA SORALUZE OLAIZOLA</t>
  </si>
  <si>
    <t>570273.18</t>
  </si>
  <si>
    <t>4766368.00</t>
  </si>
  <si>
    <t>-2.137189</t>
  </si>
  <si>
    <t>43.046754</t>
  </si>
  <si>
    <t>GAINTZA</t>
  </si>
  <si>
    <t>DENDALETXE</t>
  </si>
  <si>
    <t>JOKIN GARMENDIA URDALLETA</t>
  </si>
  <si>
    <t>570903.47</t>
  </si>
  <si>
    <t>4766886.00</t>
  </si>
  <si>
    <t>-2.129385</t>
  </si>
  <si>
    <t>43.051360</t>
  </si>
  <si>
    <t>MENDIZABAL HAUNDI</t>
  </si>
  <si>
    <t>NEREA GARMENDIA MURUA</t>
  </si>
  <si>
    <t>571468.86</t>
  </si>
  <si>
    <t>4766277.00</t>
  </si>
  <si>
    <t>-2.122521</t>
  </si>
  <si>
    <t>43.045823</t>
  </si>
  <si>
    <t>URRETABIZKAIA</t>
  </si>
  <si>
    <t>JOSE ANTONIO ORMAZABAL OTEGI</t>
  </si>
  <si>
    <t>563779.28</t>
  </si>
  <si>
    <t>4763610.00</t>
  </si>
  <si>
    <t>-2.217228</t>
  </si>
  <si>
    <t>43.022494</t>
  </si>
  <si>
    <t>IDIAZABAL</t>
  </si>
  <si>
    <t>ARITZEDER</t>
  </si>
  <si>
    <t>ARITZ KATARAIN AZALDEGI</t>
  </si>
  <si>
    <t>563496.21</t>
  </si>
  <si>
    <t>4763748.00</t>
  </si>
  <si>
    <t>-2.220687</t>
  </si>
  <si>
    <t>43.023760</t>
  </si>
  <si>
    <t>ATXISAIN</t>
  </si>
  <si>
    <t>JOSE MARIA LIZARRALDE ALTUNA</t>
  </si>
  <si>
    <t>562964.20</t>
  </si>
  <si>
    <t>4761770.00</t>
  </si>
  <si>
    <t>-2.227439</t>
  </si>
  <si>
    <t>43.005994</t>
  </si>
  <si>
    <t>EGILEOR</t>
  </si>
  <si>
    <t>ALBERTO ALDASORO KATARAIN</t>
  </si>
  <si>
    <t>561501.02</t>
  </si>
  <si>
    <t>4757931.00</t>
  </si>
  <si>
    <t>-2.245813</t>
  </si>
  <si>
    <t>42.971546</t>
  </si>
  <si>
    <t>ETXE BERRI</t>
  </si>
  <si>
    <t>562508.06</t>
  </si>
  <si>
    <t>4760699.00</t>
  </si>
  <si>
    <t>-2.233155</t>
  </si>
  <si>
    <t>42.996388</t>
  </si>
  <si>
    <t>GAZTAÑADI TXULO</t>
  </si>
  <si>
    <t>barandiaranander@gmail.com</t>
  </si>
  <si>
    <t>ANDER BARANDIARAN MUJIKA</t>
  </si>
  <si>
    <t>561688.81</t>
  </si>
  <si>
    <t>4760818.00</t>
  </si>
  <si>
    <t>-2.243192</t>
  </si>
  <si>
    <t>42.997527</t>
  </si>
  <si>
    <t>IRUNGOENA</t>
  </si>
  <si>
    <t>EGOITZ IZAGIRRE GARCIA</t>
  </si>
  <si>
    <t>563344.32</t>
  </si>
  <si>
    <t>4763242.00</t>
  </si>
  <si>
    <t>-2.222608</t>
  </si>
  <si>
    <t>43.019217</t>
  </si>
  <si>
    <t>KORTA</t>
  </si>
  <si>
    <t>JOSE URRESTARAZU TELLERIA</t>
  </si>
  <si>
    <t>561670.74</t>
  </si>
  <si>
    <t>4761567.00</t>
  </si>
  <si>
    <t>-2.243330</t>
  </si>
  <si>
    <t>43.004272</t>
  </si>
  <si>
    <t>LARDIZABAL AUNDI</t>
  </si>
  <si>
    <t>MAITE INTXAUSTI EZEIZA</t>
  </si>
  <si>
    <t>561777.52</t>
  </si>
  <si>
    <t>4756607.00</t>
  </si>
  <si>
    <t>-2.242569</t>
  </si>
  <si>
    <t>42.959602</t>
  </si>
  <si>
    <t>LIZARDI</t>
  </si>
  <si>
    <t>LUIS GOIKOETXEA AIERBE</t>
  </si>
  <si>
    <t>562400.91</t>
  </si>
  <si>
    <t>4763138.00</t>
  </si>
  <si>
    <t>-2.234197</t>
  </si>
  <si>
    <t>43.018359</t>
  </si>
  <si>
    <t>MAUGIZELAETA</t>
  </si>
  <si>
    <t>562464.41</t>
  </si>
  <si>
    <t>4763788.00</t>
  </si>
  <si>
    <t>-2.233345</t>
  </si>
  <si>
    <t>43.024206</t>
  </si>
  <si>
    <t>MENDIOLATZA</t>
  </si>
  <si>
    <t>MARIA LOURDES ETXEBERRIA ITURRIOZ</t>
  </si>
  <si>
    <t>563879.93</t>
  </si>
  <si>
    <t>4763072.00</t>
  </si>
  <si>
    <t>-2.216055</t>
  </si>
  <si>
    <t>43.017641</t>
  </si>
  <si>
    <t>OIARBIDE</t>
  </si>
  <si>
    <t>MAIDER INTXAUSTI IRASTORZA</t>
  </si>
  <si>
    <t>OLARIAGA</t>
  </si>
  <si>
    <t>562933.35</t>
  </si>
  <si>
    <t>4763243.00</t>
  </si>
  <si>
    <t>-2.227651</t>
  </si>
  <si>
    <t>43.019260</t>
  </si>
  <si>
    <t>PEDRO JOSE GALARRAGA URRESTARAZU</t>
  </si>
  <si>
    <t>561980.62</t>
  </si>
  <si>
    <t>4763156.57</t>
  </si>
  <si>
    <t>-2.239352</t>
  </si>
  <si>
    <t>43.018560</t>
  </si>
  <si>
    <t>OLAZAGIBEL</t>
  </si>
  <si>
    <t>AGURTZANE URRESTARAZU ETXEZARRETA</t>
  </si>
  <si>
    <t>562670.75</t>
  </si>
  <si>
    <t>4762843.00</t>
  </si>
  <si>
    <t>-2.230919</t>
  </si>
  <si>
    <t>43.015680</t>
  </si>
  <si>
    <t>ONDRAMUÑO</t>
  </si>
  <si>
    <t>jesus@quesosaranburu.com</t>
  </si>
  <si>
    <t>JESUS ARANBURU URBIETA</t>
  </si>
  <si>
    <t>562556.43</t>
  </si>
  <si>
    <t>4764357.00</t>
  </si>
  <si>
    <t>-2.232151</t>
  </si>
  <si>
    <t>43.029322</t>
  </si>
  <si>
    <t>URBIZU-BERRI</t>
  </si>
  <si>
    <t>URBIZU BERRI EZ</t>
  </si>
  <si>
    <t>561942.01</t>
  </si>
  <si>
    <t>4762833.00</t>
  </si>
  <si>
    <t>-2.239862</t>
  </si>
  <si>
    <t>43.015650</t>
  </si>
  <si>
    <t>URRUTIKOETXEA</t>
  </si>
  <si>
    <t>JUAN MARIA MUJIKA DEL RIO</t>
  </si>
  <si>
    <t>563021.37</t>
  </si>
  <si>
    <t>4755532.00</t>
  </si>
  <si>
    <t>-2.227441</t>
  </si>
  <si>
    <t>42.949821</t>
  </si>
  <si>
    <t>VENTA DE ETXEGARATE</t>
  </si>
  <si>
    <t>JOSE LUIS IMAZ ASEGINOLAZA</t>
  </si>
  <si>
    <t>567084.29</t>
  </si>
  <si>
    <t>4770118.69</t>
  </si>
  <si>
    <t>-2.175885</t>
  </si>
  <si>
    <t>43.080814</t>
  </si>
  <si>
    <t>ITSASONDO</t>
  </si>
  <si>
    <t>DOMINGOTEGI</t>
  </si>
  <si>
    <t>MARIA SOLEDAD SARASOLA LABACA</t>
  </si>
  <si>
    <t>567169.92</t>
  </si>
  <si>
    <t>4768011.21</t>
  </si>
  <si>
    <t>-2.175088</t>
  </si>
  <si>
    <t>43.061831</t>
  </si>
  <si>
    <t>LUKASAIN</t>
  </si>
  <si>
    <t>JUAN BAUTISTA OTEGI GANZARAIN</t>
  </si>
  <si>
    <t>566838.41</t>
  </si>
  <si>
    <t>4768455.00</t>
  </si>
  <si>
    <t>-2.179106</t>
  </si>
  <si>
    <t>43.065856</t>
  </si>
  <si>
    <t>OTEGIZABAL</t>
  </si>
  <si>
    <t>OTEGIZABAL EZ</t>
  </si>
  <si>
    <t>566895.49</t>
  </si>
  <si>
    <t>4768936.00</t>
  </si>
  <si>
    <t>-2.178347</t>
  </si>
  <si>
    <t>43.070182</t>
  </si>
  <si>
    <t>SAROBE</t>
  </si>
  <si>
    <t>MARIA JOSE SARASOLA EIZMENDI</t>
  </si>
  <si>
    <t>566887.38</t>
  </si>
  <si>
    <t>4768912.00</t>
  </si>
  <si>
    <t>-2.178449</t>
  </si>
  <si>
    <t>43.069967</t>
  </si>
  <si>
    <t>SAROBE-BERRI</t>
  </si>
  <si>
    <t>JOSE RAMON GARMENDIA GARMENDIA</t>
  </si>
  <si>
    <t>567572.18</t>
  </si>
  <si>
    <t>4765598.00</t>
  </si>
  <si>
    <t>-2.170441</t>
  </si>
  <si>
    <t>43.040066</t>
  </si>
  <si>
    <t>PRUDENCIO GARMENDIA GALPARSORO</t>
  </si>
  <si>
    <t>ALBITXU ELKARTEA SC</t>
  </si>
  <si>
    <t>ALBITXU BERRI</t>
  </si>
  <si>
    <t>LAURENDI IZTUETA ALMORZA</t>
  </si>
  <si>
    <t>566116.24</t>
  </si>
  <si>
    <t>4765895.00</t>
  </si>
  <si>
    <t>-2.188278</t>
  </si>
  <si>
    <t>43.042869</t>
  </si>
  <si>
    <t>ALTUNE</t>
  </si>
  <si>
    <t>josune_19@yahoo.es</t>
  </si>
  <si>
    <t>566641.35</t>
  </si>
  <si>
    <t>4765318.00</t>
  </si>
  <si>
    <t>-2.181901</t>
  </si>
  <si>
    <t>43.037628</t>
  </si>
  <si>
    <t>ARGINTZAO</t>
  </si>
  <si>
    <t>argintzao@gmail.com</t>
  </si>
  <si>
    <t>565723.14</t>
  </si>
  <si>
    <t>4764714.00</t>
  </si>
  <si>
    <t>-2.193243</t>
  </si>
  <si>
    <t>43.032269</t>
  </si>
  <si>
    <t>ARRAMENDI</t>
  </si>
  <si>
    <t>567812.18</t>
  </si>
  <si>
    <t>4764397.00</t>
  </si>
  <si>
    <t>-2.167641</t>
  </si>
  <si>
    <t>43.029231</t>
  </si>
  <si>
    <t>ATXUBIETA</t>
  </si>
  <si>
    <t>MIGUEL ANGEL SUKIA INSAUSTI</t>
  </si>
  <si>
    <t>565898.04</t>
  </si>
  <si>
    <t>4764012.00</t>
  </si>
  <si>
    <t>-2.191180</t>
  </si>
  <si>
    <t>43.025933</t>
  </si>
  <si>
    <t>BORDA BERRI ARTEGIA</t>
  </si>
  <si>
    <t>646697250/  659 04 37 73</t>
  </si>
  <si>
    <t>ixidrogaztak@gmail.com</t>
  </si>
  <si>
    <t>IKER SUKIA MESAS</t>
  </si>
  <si>
    <t>567696.09</t>
  </si>
  <si>
    <t>4764744.00</t>
  </si>
  <si>
    <t>-2.169024</t>
  </si>
  <si>
    <t>43.032366</t>
  </si>
  <si>
    <t>RAMON ALTUNA ELIZEGI</t>
  </si>
  <si>
    <t>567095.27</t>
  </si>
  <si>
    <t>4764194.00</t>
  </si>
  <si>
    <t>-2.176465</t>
  </si>
  <si>
    <t>43.027467</t>
  </si>
  <si>
    <t>IMAZ BERRI</t>
  </si>
  <si>
    <t>JUAN MARI AGIRREZABALA IZAGIRRE</t>
  </si>
  <si>
    <t>565857.35</t>
  </si>
  <si>
    <t>4763611.00</t>
  </si>
  <si>
    <t>-2.191726</t>
  </si>
  <si>
    <t>43.022326</t>
  </si>
  <si>
    <t>INTXAUSTI</t>
  </si>
  <si>
    <t>567657.25</t>
  </si>
  <si>
    <t>4765479.27</t>
  </si>
  <si>
    <t>-2.169411</t>
  </si>
  <si>
    <t>43.038990</t>
  </si>
  <si>
    <t>INTZARTZU ETXEA</t>
  </si>
  <si>
    <t>maitaneiztueta12@gmail.com</t>
  </si>
  <si>
    <t>AITOR IZTUETA BARANDIARAN</t>
  </si>
  <si>
    <t>567017.00</t>
  </si>
  <si>
    <t>4763845.00</t>
  </si>
  <si>
    <t>-2.177467</t>
  </si>
  <si>
    <t>43.024331</t>
  </si>
  <si>
    <t>iztueta@iztueta.eus</t>
  </si>
  <si>
    <t>EÑAUT SALA INSAUSTI</t>
  </si>
  <si>
    <t>566932.95</t>
  </si>
  <si>
    <t>4764945.00</t>
  </si>
  <si>
    <t>-2.178367</t>
  </si>
  <si>
    <t>43.034243</t>
  </si>
  <si>
    <t>IZTUETA ESNEKIAK</t>
  </si>
  <si>
    <t>626701330 / 606435022</t>
  </si>
  <si>
    <t>IZTUETA ELKARTEA SOCIEDAD CIVIL</t>
  </si>
  <si>
    <t>566964.67</t>
  </si>
  <si>
    <t>4764977.00</t>
  </si>
  <si>
    <t>-2.177973</t>
  </si>
  <si>
    <t>43.034529</t>
  </si>
  <si>
    <t>IZTUETA GARAKOA</t>
  </si>
  <si>
    <t>569197.10</t>
  </si>
  <si>
    <t>4764994.76</t>
  </si>
  <si>
    <t>-2.150570</t>
  </si>
  <si>
    <t>43.034489</t>
  </si>
  <si>
    <t>LAZKAO ETXE</t>
  </si>
  <si>
    <t>566278.20</t>
  </si>
  <si>
    <t>4764754.95</t>
  </si>
  <si>
    <t>-2.186426</t>
  </si>
  <si>
    <t>43.032590</t>
  </si>
  <si>
    <t>UNTZINDEGI</t>
  </si>
  <si>
    <t>JOSE MARIA GARMENDIA GUERRA</t>
  </si>
  <si>
    <t>567562.25</t>
  </si>
  <si>
    <t>4764862.00</t>
  </si>
  <si>
    <t>-2.170652</t>
  </si>
  <si>
    <t>43.033440</t>
  </si>
  <si>
    <t>ZEBERIO ENEA</t>
  </si>
  <si>
    <t>MIREN VILLAR LASA</t>
  </si>
  <si>
    <t>554456.39</t>
  </si>
  <si>
    <t>4763425.00</t>
  </si>
  <si>
    <t>-2.331659</t>
  </si>
  <si>
    <t>43.021554</t>
  </si>
  <si>
    <t>AGIRRE ZABAL</t>
  </si>
  <si>
    <t>943731345 / 699390551</t>
  </si>
  <si>
    <t>JOSEBA ANDUEZA IDIGORAS</t>
  </si>
  <si>
    <t>554780.97</t>
  </si>
  <si>
    <t>4763961.00</t>
  </si>
  <si>
    <t>-2.327623</t>
  </si>
  <si>
    <t>43.026357</t>
  </si>
  <si>
    <t>ARIZTI-GOIKOA</t>
  </si>
  <si>
    <t>JACINTA ZEBERIO ZUBELDIA</t>
  </si>
  <si>
    <t>553488.54</t>
  </si>
  <si>
    <t>4764695.00</t>
  </si>
  <si>
    <t>-2.343415</t>
  </si>
  <si>
    <t>43.033058</t>
  </si>
  <si>
    <t>ASTAOLA</t>
  </si>
  <si>
    <t>TOMAS UGARTE ZABALETA</t>
  </si>
  <si>
    <t>555612.76</t>
  </si>
  <si>
    <t>4764269.00</t>
  </si>
  <si>
    <t>-2.317384</t>
  </si>
  <si>
    <t>43.029070</t>
  </si>
  <si>
    <t>BIURRAIN AZPIKOA</t>
  </si>
  <si>
    <t>943730822 / 609424024</t>
  </si>
  <si>
    <t>CONSTANTINO ZABALETA ZUBIA</t>
  </si>
  <si>
    <t>553924.19</t>
  </si>
  <si>
    <t>4766319.47</t>
  </si>
  <si>
    <t>-2.337910</t>
  </si>
  <si>
    <t>43.047655</t>
  </si>
  <si>
    <t>DAMATA ETXEA</t>
  </si>
  <si>
    <t>554004.38</t>
  </si>
  <si>
    <t>4767651.00</t>
  </si>
  <si>
    <t>-2.336797</t>
  </si>
  <si>
    <t>43.059639</t>
  </si>
  <si>
    <t>EGIZABAL</t>
  </si>
  <si>
    <t>670450962 / 607754510</t>
  </si>
  <si>
    <t>egizabal@hotmail.com</t>
  </si>
  <si>
    <t>MARTIN ZABALETA AGIRRE</t>
  </si>
  <si>
    <t>553175.90</t>
  </si>
  <si>
    <t>4768064.00</t>
  </si>
  <si>
    <t>-2.346931</t>
  </si>
  <si>
    <t>43.063416</t>
  </si>
  <si>
    <t>AMAIA ARIZTI ZABALETA</t>
  </si>
  <si>
    <t>554381.73</t>
  </si>
  <si>
    <t>4768999.00</t>
  </si>
  <si>
    <t>-2.332031</t>
  </si>
  <si>
    <t>43.071750</t>
  </si>
  <si>
    <t>553534.64</t>
  </si>
  <si>
    <t>4764474.00</t>
  </si>
  <si>
    <t>-2.342870</t>
  </si>
  <si>
    <t>43.031065</t>
  </si>
  <si>
    <t>ELORZA</t>
  </si>
  <si>
    <t>JOAQUIN GURIDI ORMAZABAL</t>
  </si>
  <si>
    <t>553892.36</t>
  </si>
  <si>
    <t>4763760.00</t>
  </si>
  <si>
    <t>-2.338549</t>
  </si>
  <si>
    <t>43.024610</t>
  </si>
  <si>
    <t>ERRAIZABAL</t>
  </si>
  <si>
    <t>943730875 / 616744366</t>
  </si>
  <si>
    <t>erraizabal@artzai-gazta.net</t>
  </si>
  <si>
    <t>ARANTZA SEGUROLA OIARZABAL</t>
  </si>
  <si>
    <t>554244.22</t>
  </si>
  <si>
    <t>4762553.00</t>
  </si>
  <si>
    <t>-2.334348</t>
  </si>
  <si>
    <t>43.013717</t>
  </si>
  <si>
    <t>ERREMENTARIA</t>
  </si>
  <si>
    <t>BEMENDI</t>
  </si>
  <si>
    <t>jmsanchezdehesa@gmail.com</t>
  </si>
  <si>
    <t>JESUS MARTINEZ SANCHEZ-DEHESA</t>
  </si>
  <si>
    <t>554615.70</t>
  </si>
  <si>
    <t>4769681.00</t>
  </si>
  <si>
    <t>-2.329091</t>
  </si>
  <si>
    <t>43.077874</t>
  </si>
  <si>
    <t>GALDOS</t>
  </si>
  <si>
    <t>554297.46</t>
  </si>
  <si>
    <t>4762431.00</t>
  </si>
  <si>
    <t>-2.333707</t>
  </si>
  <si>
    <t>43.012615</t>
  </si>
  <si>
    <t>GURIDITEGI</t>
  </si>
  <si>
    <t>553148.87</t>
  </si>
  <si>
    <t>4768432.00</t>
  </si>
  <si>
    <t>-2.347228</t>
  </si>
  <si>
    <t>43.066731</t>
  </si>
  <si>
    <t>IBARROLA</t>
  </si>
  <si>
    <t>JAIME AGIRRE IÑURRITEGI</t>
  </si>
  <si>
    <t>554153.93</t>
  </si>
  <si>
    <t>4763191.00</t>
  </si>
  <si>
    <t>-2.335394</t>
  </si>
  <si>
    <t>43.019468</t>
  </si>
  <si>
    <t>IGARALDE</t>
  </si>
  <si>
    <t>943731144 / 627161752</t>
  </si>
  <si>
    <t>tiburagi@gmail.com</t>
  </si>
  <si>
    <t>TIBURZIO AGIRRE</t>
  </si>
  <si>
    <t>553754.34</t>
  </si>
  <si>
    <t>4764169.00</t>
  </si>
  <si>
    <t>-2.340203</t>
  </si>
  <si>
    <t>43.028303</t>
  </si>
  <si>
    <t>KORKOSTEGI</t>
  </si>
  <si>
    <t>JOSE LUIS GURIDI TELLERIA</t>
  </si>
  <si>
    <t>554305.72</t>
  </si>
  <si>
    <t>4763863.00</t>
  </si>
  <si>
    <t>-2.333466</t>
  </si>
  <si>
    <t>43.025508</t>
  </si>
  <si>
    <t>KORTA GOIKOA</t>
  </si>
  <si>
    <t>553424.64</t>
  </si>
  <si>
    <t>4767916.00</t>
  </si>
  <si>
    <t>-2.343890</t>
  </si>
  <si>
    <t>43.062066</t>
  </si>
  <si>
    <t>KORTABURU / BEOKI</t>
  </si>
  <si>
    <t>UNAI ZABALETA TELLERIA</t>
  </si>
  <si>
    <t>552908.30</t>
  </si>
  <si>
    <t>4769129.00</t>
  </si>
  <si>
    <t>-2.350116</t>
  </si>
  <si>
    <t>43.073024</t>
  </si>
  <si>
    <t>LAKIOLA AUNDI</t>
  </si>
  <si>
    <t>678811658 / 688653531</t>
  </si>
  <si>
    <t>ander_lakiola@hotmail.com</t>
  </si>
  <si>
    <t xml:space="preserve">MARIA LUISA SASTURAIN SASIETA / ANDER </t>
  </si>
  <si>
    <t>553025.32</t>
  </si>
  <si>
    <t>4769578.00</t>
  </si>
  <si>
    <t>-2.348636</t>
  </si>
  <si>
    <t>43.077059</t>
  </si>
  <si>
    <t>LAKIOLA ETXEBERRI</t>
  </si>
  <si>
    <t>JULIAN TELLERIA GOENAGA</t>
  </si>
  <si>
    <t>554050.53</t>
  </si>
  <si>
    <t>4767391.00</t>
  </si>
  <si>
    <t>-2.336255</t>
  </si>
  <si>
    <t>43.057294</t>
  </si>
  <si>
    <t>LAU BIDE</t>
  </si>
  <si>
    <t>555179.71</t>
  </si>
  <si>
    <t>4764775.00</t>
  </si>
  <si>
    <t>-2.322649</t>
  </si>
  <si>
    <t>43.033657</t>
  </si>
  <si>
    <t>MAKATZA</t>
  </si>
  <si>
    <t>makatzabaserria@gmail.com</t>
  </si>
  <si>
    <t>AGURTZANE GABIRIA ARGARATE Y OTRO SC</t>
  </si>
  <si>
    <t>553815.57</t>
  </si>
  <si>
    <t>4764908.00</t>
  </si>
  <si>
    <t>-2.339380</t>
  </si>
  <si>
    <t>43.034953</t>
  </si>
  <si>
    <t>MIRANDAOLA</t>
  </si>
  <si>
    <t>553913.15</t>
  </si>
  <si>
    <t>4762587.00</t>
  </si>
  <si>
    <t>-2.338407</t>
  </si>
  <si>
    <t>43.014047</t>
  </si>
  <si>
    <t>MONTEGI</t>
  </si>
  <si>
    <t>554072.62</t>
  </si>
  <si>
    <t>4765368.00</t>
  </si>
  <si>
    <t>-2.336180</t>
  </si>
  <si>
    <t>43.039077</t>
  </si>
  <si>
    <t>MOTXORRO</t>
  </si>
  <si>
    <t>553779.81</t>
  </si>
  <si>
    <t>4764457.00</t>
  </si>
  <si>
    <t>-2.339863</t>
  </si>
  <si>
    <t>43.030894</t>
  </si>
  <si>
    <t>PASTAIN</t>
  </si>
  <si>
    <t>JUANA AGIRRE UGARTE</t>
  </si>
  <si>
    <t>553363.35</t>
  </si>
  <si>
    <t>4764586.00</t>
  </si>
  <si>
    <t>-2.344962</t>
  </si>
  <si>
    <t>43.032085</t>
  </si>
  <si>
    <t>SALETXE</t>
  </si>
  <si>
    <t>553987.19</t>
  </si>
  <si>
    <t>4765190.00</t>
  </si>
  <si>
    <t>-2.337246</t>
  </si>
  <si>
    <t>43.037480</t>
  </si>
  <si>
    <t>SAN MIGUEL</t>
  </si>
  <si>
    <t>ginurri@gmail.com</t>
  </si>
  <si>
    <t>GORKA IÑURRITEGI LASA</t>
  </si>
  <si>
    <t>554180.10</t>
  </si>
  <si>
    <t>4763584.00</t>
  </si>
  <si>
    <t>-2.335035</t>
  </si>
  <si>
    <t>43.023005</t>
  </si>
  <si>
    <t>UERKALDE</t>
  </si>
  <si>
    <t>jbalerdi9@gmail.com</t>
  </si>
  <si>
    <t>JOAQUIN BALERDI ARRIARAN</t>
  </si>
  <si>
    <t>553752.72</t>
  </si>
  <si>
    <t>4767829.00</t>
  </si>
  <si>
    <t>-2.339870</t>
  </si>
  <si>
    <t>43.061259</t>
  </si>
  <si>
    <t>URTATZA</t>
  </si>
  <si>
    <t>943733529 / 660947675 / 610981147</t>
  </si>
  <si>
    <t>mantxolamikel@hotmail.com</t>
  </si>
  <si>
    <t>MIKEL MANTXOLA AGIRRE</t>
  </si>
  <si>
    <t>555634.75</t>
  </si>
  <si>
    <t>4764747.00</t>
  </si>
  <si>
    <t>-2.317066</t>
  </si>
  <si>
    <t>43.033372</t>
  </si>
  <si>
    <t>ZABALETA</t>
  </si>
  <si>
    <t>MARIA EMILIA ORMAZABAL DORRONSORO</t>
  </si>
  <si>
    <t>SANTIAGO ZABALETA BETEGI</t>
  </si>
  <si>
    <t>552945.53</t>
  </si>
  <si>
    <t>4764822.00</t>
  </si>
  <si>
    <t>-2.350068</t>
  </si>
  <si>
    <t>43.034240</t>
  </si>
  <si>
    <t>ZELANDA BEKOA</t>
  </si>
  <si>
    <t>554287.75</t>
  </si>
  <si>
    <t>4762514.00</t>
  </si>
  <si>
    <t>-2.333818</t>
  </si>
  <si>
    <t>43.013363</t>
  </si>
  <si>
    <t>ZUBIAURRE</t>
  </si>
  <si>
    <t xml:space="preserve">695781172 / 943730694 / 617705672 </t>
  </si>
  <si>
    <t>IÑIGO GOROSPE MADINABEITIA</t>
  </si>
  <si>
    <t>570362.73</t>
  </si>
  <si>
    <t>4770319.47</t>
  </si>
  <si>
    <t>-2.135589</t>
  </si>
  <si>
    <t>43.082325</t>
  </si>
  <si>
    <t>LEGORRETA</t>
  </si>
  <si>
    <t>BARTZELONA</t>
  </si>
  <si>
    <t>569913.11</t>
  </si>
  <si>
    <t>4771328.30</t>
  </si>
  <si>
    <t>-2.140985</t>
  </si>
  <si>
    <t>43.091450</t>
  </si>
  <si>
    <t>567866.15</t>
  </si>
  <si>
    <t>4770252.32</t>
  </si>
  <si>
    <t>-2.166265</t>
  </si>
  <si>
    <t>43.081948</t>
  </si>
  <si>
    <t>OLALDE</t>
  </si>
  <si>
    <t>OLALDEKO ARTEGIA</t>
  </si>
  <si>
    <t>569256.34</t>
  </si>
  <si>
    <t>4770212.85</t>
  </si>
  <si>
    <t>-2.149193</t>
  </si>
  <si>
    <t>43.081467</t>
  </si>
  <si>
    <t>URDANETA</t>
  </si>
  <si>
    <t>569226.77</t>
  </si>
  <si>
    <t>4770022.05</t>
  </si>
  <si>
    <t>-2.149580</t>
  </si>
  <si>
    <t>43.079752</t>
  </si>
  <si>
    <t>URDANETA GARAIKOA</t>
  </si>
  <si>
    <t>URDANETA-GOIKOA</t>
  </si>
  <si>
    <t>558446.12</t>
  </si>
  <si>
    <t>4763730.00</t>
  </si>
  <si>
    <t>-2.282665</t>
  </si>
  <si>
    <t>43.024004</t>
  </si>
  <si>
    <t>MUTILOA</t>
  </si>
  <si>
    <t>AGIRIETA</t>
  </si>
  <si>
    <t>JOSEBA ZABALETA MURGIONDO</t>
  </si>
  <si>
    <t>559429.80</t>
  </si>
  <si>
    <t>4763636.00</t>
  </si>
  <si>
    <t>-2.270603</t>
  </si>
  <si>
    <t>43.023081</t>
  </si>
  <si>
    <t>ANDRAMAIZTEGI</t>
  </si>
  <si>
    <t>JUAN IGNACIO ALTUNA OLAETXEA</t>
  </si>
  <si>
    <t>560467.93</t>
  </si>
  <si>
    <t>4763474.00</t>
  </si>
  <si>
    <t>-2.257880</t>
  </si>
  <si>
    <t>43.021540</t>
  </si>
  <si>
    <t>ATIBER TXIKI</t>
  </si>
  <si>
    <t>JESUS MARIA KORTA GARMENDIA</t>
  </si>
  <si>
    <t>561086.48</t>
  </si>
  <si>
    <t>4763466.00</t>
  </si>
  <si>
    <t>-2.250290</t>
  </si>
  <si>
    <t>43.021419</t>
  </si>
  <si>
    <t>GAZTAÑADI ERROTA</t>
  </si>
  <si>
    <t>MARIA CONCEPCION ALDASORO BEGIRISTAIN</t>
  </si>
  <si>
    <t>560873.81</t>
  </si>
  <si>
    <t>4763499.00</t>
  </si>
  <si>
    <t>-2.252897</t>
  </si>
  <si>
    <t>43.021733</t>
  </si>
  <si>
    <t>GAZTIÑARI GOIKOA</t>
  </si>
  <si>
    <t>FRANCISCA ARAKAMA LARDIZABAL</t>
  </si>
  <si>
    <t>559089.68</t>
  </si>
  <si>
    <t>4764154.00</t>
  </si>
  <si>
    <t>-2.274722</t>
  </si>
  <si>
    <t>43.027772</t>
  </si>
  <si>
    <t>GERRIKO GOITI</t>
  </si>
  <si>
    <t>557588.23</t>
  </si>
  <si>
    <t>4764613.00</t>
  </si>
  <si>
    <t>-2.293102</t>
  </si>
  <si>
    <t>43.032020</t>
  </si>
  <si>
    <t>GOROSTORZU</t>
  </si>
  <si>
    <t>558667.54</t>
  </si>
  <si>
    <t>4763964.00</t>
  </si>
  <si>
    <t>-2.279923</t>
  </si>
  <si>
    <t>43.026094</t>
  </si>
  <si>
    <t>IZAGIRRE</t>
  </si>
  <si>
    <t>558797.75</t>
  </si>
  <si>
    <t>4764401.00</t>
  </si>
  <si>
    <t>-2.278279</t>
  </si>
  <si>
    <t>43.030018</t>
  </si>
  <si>
    <t>LENKARAN</t>
  </si>
  <si>
    <t>JOAQUIN LEKUONA IMAZ</t>
  </si>
  <si>
    <t>559776.17</t>
  </si>
  <si>
    <t>4763778.00</t>
  </si>
  <si>
    <t>-2.266337</t>
  </si>
  <si>
    <t>43.024332</t>
  </si>
  <si>
    <t>LIERNI AZPI</t>
  </si>
  <si>
    <t>JOSE ESTEBAN INSAUSTI IRASTORZA</t>
  </si>
  <si>
    <t>558867.54</t>
  </si>
  <si>
    <t>4763920.00</t>
  </si>
  <si>
    <t>-2.277473</t>
  </si>
  <si>
    <t>43.025682</t>
  </si>
  <si>
    <t>ODIO</t>
  </si>
  <si>
    <t>mutiloarra@gmail.com</t>
  </si>
  <si>
    <t>BEÑAT TELLERIA INSAUSTI</t>
  </si>
  <si>
    <t>558931.66</t>
  </si>
  <si>
    <t>4764385.00</t>
  </si>
  <si>
    <t>-2.276637</t>
  </si>
  <si>
    <t>43.029864</t>
  </si>
  <si>
    <t>SESARRIPA</t>
  </si>
  <si>
    <t>560216.65</t>
  </si>
  <si>
    <t>4763377.92</t>
  </si>
  <si>
    <t>-2.260974</t>
  </si>
  <si>
    <t>43.020695</t>
  </si>
  <si>
    <t>SUTEGI</t>
  </si>
  <si>
    <t>560685.81</t>
  </si>
  <si>
    <t>4763343.00</t>
  </si>
  <si>
    <t>-2.255221</t>
  </si>
  <si>
    <t>43.020343</t>
  </si>
  <si>
    <t>UGALDE</t>
  </si>
  <si>
    <t>558643.44</t>
  </si>
  <si>
    <t>4763274.00</t>
  </si>
  <si>
    <t>-2.280292</t>
  </si>
  <si>
    <t>43.019882</t>
  </si>
  <si>
    <t>UGARTE</t>
  </si>
  <si>
    <t>ANA MARIA TELLERIA TELLERIA</t>
  </si>
  <si>
    <t>557659.09</t>
  </si>
  <si>
    <t>4764893.00</t>
  </si>
  <si>
    <t>-2.292204</t>
  </si>
  <si>
    <t>43.034536</t>
  </si>
  <si>
    <t>URTEAGA</t>
  </si>
  <si>
    <t>MARIA JESUS AGIRREBENGOA ETXEBERRIA</t>
  </si>
  <si>
    <t>557654.10</t>
  </si>
  <si>
    <t>4764878.00</t>
  </si>
  <si>
    <t>-2.292267</t>
  </si>
  <si>
    <t>43.034401</t>
  </si>
  <si>
    <t>URTEAGA-GAIN</t>
  </si>
  <si>
    <t>ANA JESUS ARANBURU ALTUNA</t>
  </si>
  <si>
    <t>560283.25</t>
  </si>
  <si>
    <t>4763408.64</t>
  </si>
  <si>
    <t>-2.260154</t>
  </si>
  <si>
    <t>43.020966</t>
  </si>
  <si>
    <t>ZUBIONDO</t>
  </si>
  <si>
    <t>564453.95</t>
  </si>
  <si>
    <t>4764022.00</t>
  </si>
  <si>
    <t>-2.208901</t>
  </si>
  <si>
    <t>43.026147</t>
  </si>
  <si>
    <t>xabieragi.jaz@gmail.com</t>
  </si>
  <si>
    <t>FRANCISCO JAVIER AGIRRE ZUBELDIA</t>
  </si>
  <si>
    <t>564118.71</t>
  </si>
  <si>
    <t>4764180.00</t>
  </si>
  <si>
    <t>-2.212997</t>
  </si>
  <si>
    <t>43.027598</t>
  </si>
  <si>
    <t>BALDA</t>
  </si>
  <si>
    <t>MARIA ROSARIO VITORIA ETXEBERRIA</t>
  </si>
  <si>
    <t>565381.70</t>
  </si>
  <si>
    <t>4763780.00</t>
  </si>
  <si>
    <t>-2.197544</t>
  </si>
  <si>
    <t>43.023889</t>
  </si>
  <si>
    <t>BILDOTXAGA</t>
  </si>
  <si>
    <t>info@baserritarra.com</t>
  </si>
  <si>
    <t>ALBERTO IRASTORZA APAOLAZA</t>
  </si>
  <si>
    <t>565622.55</t>
  </si>
  <si>
    <t>4764294.00</t>
  </si>
  <si>
    <t>-2.194527</t>
  </si>
  <si>
    <t>43.028496</t>
  </si>
  <si>
    <t>ETXEBERRI GOIKOA</t>
  </si>
  <si>
    <t>620785852 / 699203321</t>
  </si>
  <si>
    <t>behieko@behiekogaztak.eus</t>
  </si>
  <si>
    <t>ETXEBERRI GOIKOA EZ</t>
  </si>
  <si>
    <t>564243.70</t>
  </si>
  <si>
    <t>4764697.00</t>
  </si>
  <si>
    <t>-2.211404</t>
  </si>
  <si>
    <t>43.032243</t>
  </si>
  <si>
    <t>BENGOETXE</t>
  </si>
  <si>
    <t>943884955 / 619977019</t>
  </si>
  <si>
    <t>info@txakolibengoetxe.com</t>
  </si>
  <si>
    <t>BENGOETXE BASERRIA SL</t>
  </si>
  <si>
    <t>565370.66</t>
  </si>
  <si>
    <t>4764978.00</t>
  </si>
  <si>
    <t>-2.197539</t>
  </si>
  <si>
    <t>43.034677</t>
  </si>
  <si>
    <t>GARITAIN</t>
  </si>
  <si>
    <t>MARIA MILAGROS GOROSTIZU IRAOLA</t>
  </si>
  <si>
    <t>564564.00</t>
  </si>
  <si>
    <t>4764299.00</t>
  </si>
  <si>
    <t>-2.207519</t>
  </si>
  <si>
    <t>43.028632</t>
  </si>
  <si>
    <t>AIZPEA</t>
  </si>
  <si>
    <t>aizpeagazta@gmail.com</t>
  </si>
  <si>
    <t>AIZPEA SC</t>
  </si>
  <si>
    <t>563991.56</t>
  </si>
  <si>
    <t>4763844.00</t>
  </si>
  <si>
    <t>-2.214596</t>
  </si>
  <si>
    <t>43.024583</t>
  </si>
  <si>
    <t>ARANGUREN AZPI</t>
  </si>
  <si>
    <t>XABIER LASA ARBULU</t>
  </si>
  <si>
    <t>564117.60</t>
  </si>
  <si>
    <t>4764550.00</t>
  </si>
  <si>
    <t>-2.212968</t>
  </si>
  <si>
    <t>43.030930</t>
  </si>
  <si>
    <t>BENGOETXE GARAKOA</t>
  </si>
  <si>
    <t>565349.00</t>
  </si>
  <si>
    <t>4764662.00</t>
  </si>
  <si>
    <t>-2.197842</t>
  </si>
  <si>
    <t>43.031833</t>
  </si>
  <si>
    <t>ABAROA ARTEGIA</t>
  </si>
  <si>
    <t>txokogazta@gmail.com</t>
  </si>
  <si>
    <t>SANTIAGO ETXEZARRETA GOIBURU</t>
  </si>
  <si>
    <t>565679.69</t>
  </si>
  <si>
    <t>4763944.00</t>
  </si>
  <si>
    <t>-2.193867</t>
  </si>
  <si>
    <t>43.025340</t>
  </si>
  <si>
    <t>SAHASTI</t>
  </si>
  <si>
    <t>JOKIN MIREN GARMENDIA ASURABARRENA</t>
  </si>
  <si>
    <t>566846.66</t>
  </si>
  <si>
    <t>4767652.00</t>
  </si>
  <si>
    <t>-2.179101</t>
  </si>
  <si>
    <t>43.058625</t>
  </si>
  <si>
    <t>JOSE RAMON ARSUAGA GARMENDIA</t>
  </si>
  <si>
    <t>566465.92</t>
  </si>
  <si>
    <t>4769308.00</t>
  </si>
  <si>
    <t>-2.183578</t>
  </si>
  <si>
    <t>43.073569</t>
  </si>
  <si>
    <t>IOIA BASERRIA</t>
  </si>
  <si>
    <t>MAIDER GARMENDIA SAIZAR</t>
  </si>
  <si>
    <t>566966.60</t>
  </si>
  <si>
    <t>4766433.00</t>
  </si>
  <si>
    <t>-2.177775</t>
  </si>
  <si>
    <t>43.047639</t>
  </si>
  <si>
    <t>OIANGU</t>
  </si>
  <si>
    <t>561647.85</t>
  </si>
  <si>
    <t>4766143.00</t>
  </si>
  <si>
    <t>-2.243105</t>
  </si>
  <si>
    <t>43.045478</t>
  </si>
  <si>
    <t>ARANGUREN</t>
  </si>
  <si>
    <t>560012.33</t>
  </si>
  <si>
    <t>4765646.00</t>
  </si>
  <si>
    <t>-2.263238</t>
  </si>
  <si>
    <t>43.041134</t>
  </si>
  <si>
    <t>MEKOLA</t>
  </si>
  <si>
    <t>561192.68</t>
  </si>
  <si>
    <t>4766077.00</t>
  </si>
  <si>
    <t>-2.248700</t>
  </si>
  <si>
    <t>43.044920</t>
  </si>
  <si>
    <t>560288.89</t>
  </si>
  <si>
    <t>4766903.00</t>
  </si>
  <si>
    <t>-2.259706</t>
  </si>
  <si>
    <t>43.052430</t>
  </si>
  <si>
    <t>OLABARRIETA TXIKI</t>
  </si>
  <si>
    <t>MARIA BEGOÑA VILDOSOLA ARANCETA</t>
  </si>
  <si>
    <t>560197.98</t>
  </si>
  <si>
    <t>4765747.00</t>
  </si>
  <si>
    <t>-2.260948</t>
  </si>
  <si>
    <t>43.042028</t>
  </si>
  <si>
    <t>SAGASTIBERRI</t>
  </si>
  <si>
    <t>560080.14</t>
  </si>
  <si>
    <t>4765648.00</t>
  </si>
  <si>
    <t>-2.262405</t>
  </si>
  <si>
    <t>43.041146</t>
  </si>
  <si>
    <t>URDABARRO AZPIKOA</t>
  </si>
  <si>
    <t>JUAN URKIOLA PEÑAGARIKANO</t>
  </si>
  <si>
    <t>561310.98</t>
  </si>
  <si>
    <t>4762159.00</t>
  </si>
  <si>
    <t>-2.247679</t>
  </si>
  <si>
    <t>43.009632</t>
  </si>
  <si>
    <t>AIZKOETA BERRI</t>
  </si>
  <si>
    <t>MARIA JOSE ORMAZABAL ALDASORO</t>
  </si>
  <si>
    <t>559011.14</t>
  </si>
  <si>
    <t>4761462.00</t>
  </si>
  <si>
    <t>-2.275971</t>
  </si>
  <si>
    <t>43.003538</t>
  </si>
  <si>
    <t>ARRIZABALAGA</t>
  </si>
  <si>
    <t>GEMA IZUZKITZA AGIRREBENGOA</t>
  </si>
  <si>
    <t>559827.04</t>
  </si>
  <si>
    <t>4761326.00</t>
  </si>
  <si>
    <t>-2.265976</t>
  </si>
  <si>
    <t>43.002250</t>
  </si>
  <si>
    <t>ERROTA BERRI</t>
  </si>
  <si>
    <t>IÑAKI GARAIALDE SALSAMENDI</t>
  </si>
  <si>
    <t>559468.88</t>
  </si>
  <si>
    <t>4761021.00</t>
  </si>
  <si>
    <t>-2.270402</t>
  </si>
  <si>
    <t>42.999531</t>
  </si>
  <si>
    <t>KONSOLASTI</t>
  </si>
  <si>
    <t>BEÑAT ELORZA ZEBERIO</t>
  </si>
  <si>
    <t>559950.20</t>
  </si>
  <si>
    <t>4759593.00</t>
  </si>
  <si>
    <t>-2.264651</t>
  </si>
  <si>
    <t>42.986635</t>
  </si>
  <si>
    <t>KORTABERRI</t>
  </si>
  <si>
    <t>ALOÑA OLARAN ETXEZARRETA</t>
  </si>
  <si>
    <t>559955.11</t>
  </si>
  <si>
    <t>4759611.00</t>
  </si>
  <si>
    <t>-2.264589</t>
  </si>
  <si>
    <t>42.986797</t>
  </si>
  <si>
    <t>PURIFICACION LARDIZABAL ARRONDO</t>
  </si>
  <si>
    <t>559919.81</t>
  </si>
  <si>
    <t>4759603.00</t>
  </si>
  <si>
    <t>-2.265023</t>
  </si>
  <si>
    <t>42.986728</t>
  </si>
  <si>
    <t>AINARA GOENAGA AGIRRE</t>
  </si>
  <si>
    <t>559698.40</t>
  </si>
  <si>
    <t>4759852.00</t>
  </si>
  <si>
    <t>-2.267712</t>
  </si>
  <si>
    <t>42.988987</t>
  </si>
  <si>
    <t>KORTEGI</t>
  </si>
  <si>
    <t>JUAN JOSE OIARBIDE ETXEZARRETA</t>
  </si>
  <si>
    <t>561180.06</t>
  </si>
  <si>
    <t>4760853.00</t>
  </si>
  <si>
    <t>MENDARTE</t>
  </si>
  <si>
    <t>intxausti.iturzaeta@gmail.com</t>
  </si>
  <si>
    <t>IÑAKI INTXAUSTI ITURZAETA</t>
  </si>
  <si>
    <t>559738.38</t>
  </si>
  <si>
    <t>4760879.00</t>
  </si>
  <si>
    <t>-2.267111</t>
  </si>
  <si>
    <t>42.998232</t>
  </si>
  <si>
    <t>MUJARDIN BERRI</t>
  </si>
  <si>
    <t>MONJARDIN SC</t>
  </si>
  <si>
    <t>560869.91</t>
  </si>
  <si>
    <t>4762482.00</t>
  </si>
  <si>
    <t>-2.253056</t>
  </si>
  <si>
    <t>43.012576</t>
  </si>
  <si>
    <t>ONDARRE</t>
  </si>
  <si>
    <t>943801664 / 689192508</t>
  </si>
  <si>
    <t>ENEKO GOIBURU MURUA</t>
  </si>
  <si>
    <t>561337.61</t>
  </si>
  <si>
    <t>4761631.00</t>
  </si>
  <si>
    <t>-2.247410</t>
  </si>
  <si>
    <t>43.004876</t>
  </si>
  <si>
    <t>ORIAMUÑO</t>
  </si>
  <si>
    <t>JOSE JAVIER ALUSTIZA MUJIKA</t>
  </si>
  <si>
    <t>561262.45</t>
  </si>
  <si>
    <t>4761426.00</t>
  </si>
  <si>
    <t>-2.248355</t>
  </si>
  <si>
    <t>43.003036</t>
  </si>
  <si>
    <t>lizardibas@gmail.com</t>
  </si>
  <si>
    <t>JOSE JAVIER BASURTO LUZURIAGA</t>
  </si>
  <si>
    <t>553623.79</t>
  </si>
  <si>
    <t>4771418.00</t>
  </si>
  <si>
    <t>-2.341107</t>
  </si>
  <si>
    <t>43.093585</t>
  </si>
  <si>
    <t>agerrebaserria@yahoo.com</t>
  </si>
  <si>
    <t>IÑAKI SASIETA SASIETA</t>
  </si>
  <si>
    <t>554629.79</t>
  </si>
  <si>
    <t>4771504.66</t>
  </si>
  <si>
    <t>-2.328738</t>
  </si>
  <si>
    <t>43.094294</t>
  </si>
  <si>
    <t>AIKUR</t>
  </si>
  <si>
    <t>JOSUNE EPELDE ORUESAGASTI</t>
  </si>
  <si>
    <t>AIKUR ERLATEGI EKOLOGIKOA</t>
  </si>
  <si>
    <t>otegiaitor@gmail.com</t>
  </si>
  <si>
    <t>AITOR OTEGI EPELDE</t>
  </si>
  <si>
    <t>555048.78</t>
  </si>
  <si>
    <t>4772791.00</t>
  </si>
  <si>
    <t>-2.323463</t>
  </si>
  <si>
    <t>43.105846</t>
  </si>
  <si>
    <t>BEAIN</t>
  </si>
  <si>
    <t>maixajoambu@gmail.com</t>
  </si>
  <si>
    <t>MARIA ISABEL LIZARAZU IRASTORZA</t>
  </si>
  <si>
    <t>943724695 / 660051807</t>
  </si>
  <si>
    <t>JESUS PLAZAOLA</t>
  </si>
  <si>
    <t>553337.37</t>
  </si>
  <si>
    <t>4771271.00</t>
  </si>
  <si>
    <t>-2.344640</t>
  </si>
  <si>
    <t>43.092282</t>
  </si>
  <si>
    <t>BEHI-DAKAR</t>
  </si>
  <si>
    <t>ALOÑA BETEGI IZAGIRRE</t>
  </si>
  <si>
    <t>553769.99</t>
  </si>
  <si>
    <t>4770557.00</t>
  </si>
  <si>
    <t>-2.339394</t>
  </si>
  <si>
    <t>43.085822</t>
  </si>
  <si>
    <t>DESKARGA</t>
  </si>
  <si>
    <t>554308.30</t>
  </si>
  <si>
    <t>4770552.00</t>
  </si>
  <si>
    <t>-2.332781</t>
  </si>
  <si>
    <t>43.085739</t>
  </si>
  <si>
    <t>DONARDEGI</t>
  </si>
  <si>
    <t>943722935 / 652761780</t>
  </si>
  <si>
    <t>melgarrresta@hotmail.com</t>
  </si>
  <si>
    <t>MIKEL ELGARRESTA MINTEGI</t>
  </si>
  <si>
    <t>554792.41</t>
  </si>
  <si>
    <t>4770757.00</t>
  </si>
  <si>
    <t>-2.326814</t>
  </si>
  <si>
    <t>43.087550</t>
  </si>
  <si>
    <t>ERRATZU-GOIKOA</t>
  </si>
  <si>
    <t>SANTIAGO SALABERRIA ARRIETA</t>
  </si>
  <si>
    <t>555189.38</t>
  </si>
  <si>
    <t>4771379.00</t>
  </si>
  <si>
    <t>-2.321875</t>
  </si>
  <si>
    <t>43.093122</t>
  </si>
  <si>
    <t>ETXABURU</t>
  </si>
  <si>
    <t>ANGEL MARIA AREIZAGA ZABALETA</t>
  </si>
  <si>
    <t>555399.66</t>
  </si>
  <si>
    <t>4771931.00</t>
  </si>
  <si>
    <t>-2.319237</t>
  </si>
  <si>
    <t>43.098077</t>
  </si>
  <si>
    <t>ETXOLEGI</t>
  </si>
  <si>
    <t>IGNACIO ZANGITU LIZARAZU</t>
  </si>
  <si>
    <t>554422.79</t>
  </si>
  <si>
    <t>4771466.00</t>
  </si>
  <si>
    <t>-2.331285</t>
  </si>
  <si>
    <t>43.093960</t>
  </si>
  <si>
    <t>IPIÑARRIETA</t>
  </si>
  <si>
    <t>94372422 / 638429027</t>
  </si>
  <si>
    <t>AINHOA IZAGIRRE ETXANIZ</t>
  </si>
  <si>
    <t>555375.10</t>
  </si>
  <si>
    <t>4771594.00</t>
  </si>
  <si>
    <t>-2.319572</t>
  </si>
  <si>
    <t>43.095044</t>
  </si>
  <si>
    <t>LARREA</t>
  </si>
  <si>
    <t>ANGEL ESTOMBA ARANGUREN</t>
  </si>
  <si>
    <t>554094.79</t>
  </si>
  <si>
    <t>4771006.00</t>
  </si>
  <si>
    <t>-2.335360</t>
  </si>
  <si>
    <t>43.089842</t>
  </si>
  <si>
    <t>553589.19</t>
  </si>
  <si>
    <t>4770896.00</t>
  </si>
  <si>
    <t>-2.341582</t>
  </si>
  <si>
    <t>43.088887</t>
  </si>
  <si>
    <t>IÑAKI URIEN ARSUAGA</t>
  </si>
  <si>
    <t>553679.97</t>
  </si>
  <si>
    <t>4771010.00</t>
  </si>
  <si>
    <t>-2.340456</t>
  </si>
  <si>
    <t>43.089907</t>
  </si>
  <si>
    <t>943724044 / 619849114</t>
  </si>
  <si>
    <t>julianmantxola@gmail.com</t>
  </si>
  <si>
    <t>JULIAN MANTXOLA APAOLAZA</t>
  </si>
  <si>
    <t>569092.32</t>
  </si>
  <si>
    <t>4763998.00</t>
  </si>
  <si>
    <t>-2.151979</t>
  </si>
  <si>
    <t>43.025523</t>
  </si>
  <si>
    <t>ZALDIBIA</t>
  </si>
  <si>
    <t>JOSE IGNACIO IRASTORZA ARMENDARIZ</t>
  </si>
  <si>
    <t>571858.00</t>
  </si>
  <si>
    <t>4765138.00</t>
  </si>
  <si>
    <t>-2.117891</t>
  </si>
  <si>
    <t>43.035531</t>
  </si>
  <si>
    <t>AIZPORRA</t>
  </si>
  <si>
    <t>686320512 / 644306957</t>
  </si>
  <si>
    <t>aizporra@gmail.com</t>
  </si>
  <si>
    <t>AMAIA GARMENDIA SUKIA / GERARDO GARMENDIA SALSAMENDI</t>
  </si>
  <si>
    <t>567823.57</t>
  </si>
  <si>
    <t>4765611.79</t>
  </si>
  <si>
    <t>-2.167354</t>
  </si>
  <si>
    <t>43.040168</t>
  </si>
  <si>
    <t>ALARPE ZALDITEGIA</t>
  </si>
  <si>
    <t>569214.93</t>
  </si>
  <si>
    <t>4766210.00</t>
  </si>
  <si>
    <t>-2.150200</t>
  </si>
  <si>
    <t>43.045429</t>
  </si>
  <si>
    <t>ALDABURU</t>
  </si>
  <si>
    <t>MAIDER IZAGIRRE SUKIA</t>
  </si>
  <si>
    <t>570241.84</t>
  </si>
  <si>
    <t>4765615.00</t>
  </si>
  <si>
    <t>-2.137668</t>
  </si>
  <si>
    <t>43.039977</t>
  </si>
  <si>
    <t>ALZONDO</t>
  </si>
  <si>
    <t>MIGEL MARI JAUREGI BELOKI</t>
  </si>
  <si>
    <t>570745.16</t>
  </si>
  <si>
    <t>4765586.96</t>
  </si>
  <si>
    <t>-2.131493</t>
  </si>
  <si>
    <t>43.039678</t>
  </si>
  <si>
    <t>josebainsaus@gmail.com</t>
  </si>
  <si>
    <t>JOSEBA INSAUSTI MUJIKA</t>
  </si>
  <si>
    <t>569168.68</t>
  </si>
  <si>
    <t>4765274.61</t>
  </si>
  <si>
    <t>-2.150884</t>
  </si>
  <si>
    <t>43.037011</t>
  </si>
  <si>
    <t>BARANDIARAN</t>
  </si>
  <si>
    <t>569364.09</t>
  </si>
  <si>
    <t>4765634.00</t>
  </si>
  <si>
    <t>-2.148441</t>
  </si>
  <si>
    <t>43.040229</t>
  </si>
  <si>
    <t>BERDILARI</t>
  </si>
  <si>
    <t>571153.58</t>
  </si>
  <si>
    <t>4763969.00</t>
  </si>
  <si>
    <t>-2.126687</t>
  </si>
  <si>
    <t>43.025072</t>
  </si>
  <si>
    <t>ERNAITZA GOIKOA</t>
  </si>
  <si>
    <t>JOSEBA MIRENE ARIZKORRETA ARRESE</t>
  </si>
  <si>
    <t>ERNAITZAGA</t>
  </si>
  <si>
    <t>GARADI</t>
  </si>
  <si>
    <t>MARIA JESUS BARANDIARAN URTEAGA</t>
  </si>
  <si>
    <t>571027.79</t>
  </si>
  <si>
    <t>4765087.00</t>
  </si>
  <si>
    <t>-2.128088</t>
  </si>
  <si>
    <t>43.035150</t>
  </si>
  <si>
    <t>GIZENDEGIA IZAR E.Z.</t>
  </si>
  <si>
    <t xml:space="preserve"> garikoitzn@hotmail.com</t>
  </si>
  <si>
    <t>GIZENDEGIA IZAR EZ</t>
  </si>
  <si>
    <t>569534.93</t>
  </si>
  <si>
    <t>4764227.00</t>
  </si>
  <si>
    <t>-2.146519</t>
  </si>
  <si>
    <t>43.027545</t>
  </si>
  <si>
    <t>GORRIÑE</t>
  </si>
  <si>
    <t>ANDER MURUA ZINKUNEGI</t>
  </si>
  <si>
    <t>IZAR BERRI</t>
  </si>
  <si>
    <t>GARIKOITZ NAZABAL ETXABE</t>
  </si>
  <si>
    <t>569588.38</t>
  </si>
  <si>
    <t>4764901.00</t>
  </si>
  <si>
    <t>-2.145779</t>
  </si>
  <si>
    <t>43.033609</t>
  </si>
  <si>
    <t>KALBARIOTA</t>
  </si>
  <si>
    <t>568563.00</t>
  </si>
  <si>
    <t>4764895.00</t>
  </si>
  <si>
    <t>-2.158365</t>
  </si>
  <si>
    <t>43.033648</t>
  </si>
  <si>
    <t>KATXIÑA</t>
  </si>
  <si>
    <t>kontxi18@gmail.com</t>
  </si>
  <si>
    <t>IGNACIO IRASTORZA ZULAIKA</t>
  </si>
  <si>
    <t>569282.98</t>
  </si>
  <si>
    <t>-2.149706</t>
  </si>
  <si>
    <t>43.020716</t>
  </si>
  <si>
    <t>KONPORTA</t>
  </si>
  <si>
    <t>KONPORTAENEA EZ</t>
  </si>
  <si>
    <t>569476.02</t>
  </si>
  <si>
    <t>4764608.00</t>
  </si>
  <si>
    <t>-2.147194</t>
  </si>
  <si>
    <t>43.030981</t>
  </si>
  <si>
    <t>MENDIZABAL UNTXI GRANJA-URTESABEL B</t>
  </si>
  <si>
    <t>568858.56</t>
  </si>
  <si>
    <t>4765357.00</t>
  </si>
  <si>
    <t>-2.154680</t>
  </si>
  <si>
    <t>43.037781</t>
  </si>
  <si>
    <t>MIRANDA</t>
  </si>
  <si>
    <t>INMACULADA MENDIZABAL IZAGIRRE</t>
  </si>
  <si>
    <t>568859.95</t>
  </si>
  <si>
    <t>4765398.00</t>
  </si>
  <si>
    <t>-2.154658</t>
  </si>
  <si>
    <t>43.038150</t>
  </si>
  <si>
    <t>MARIA JOSE IZAGIRRE ETXABE</t>
  </si>
  <si>
    <t>569418.48</t>
  </si>
  <si>
    <t>4765067.00</t>
  </si>
  <si>
    <t>-2.147844</t>
  </si>
  <si>
    <t>43.035119</t>
  </si>
  <si>
    <t>MIZPI ZABALETA</t>
  </si>
  <si>
    <t>KONTXI LERTXUNDI AZURZA</t>
  </si>
  <si>
    <t>570290.13</t>
  </si>
  <si>
    <t>4764703.00</t>
  </si>
  <si>
    <t>-2.137191</t>
  </si>
  <si>
    <t>43.031761</t>
  </si>
  <si>
    <t>OTXAITZA</t>
  </si>
  <si>
    <t>JOSU IRAZUSTABARRENA ETXEBERRIA</t>
  </si>
  <si>
    <t>570958.93</t>
  </si>
  <si>
    <t>4764706.73</t>
  </si>
  <si>
    <t>-2.128981</t>
  </si>
  <si>
    <t>43.031733</t>
  </si>
  <si>
    <t>SATURDI</t>
  </si>
  <si>
    <t>RAMON IRUIN TOLOSA</t>
  </si>
  <si>
    <t>569133.79</t>
  </si>
  <si>
    <t>4764508.00</t>
  </si>
  <si>
    <t>-2.151407</t>
  </si>
  <si>
    <t>43.030111</t>
  </si>
  <si>
    <t>UNANUBIETA</t>
  </si>
  <si>
    <t>UNAI ORIA OLANO</t>
  </si>
  <si>
    <t>568431.71</t>
  </si>
  <si>
    <t>4766369.63</t>
  </si>
  <si>
    <t>-2.159795</t>
  </si>
  <si>
    <t>43.046937</t>
  </si>
  <si>
    <t>ZUGASTI</t>
  </si>
  <si>
    <t>ZUGASTI EZ</t>
  </si>
  <si>
    <t>569627.36</t>
  </si>
  <si>
    <t>4763984.00</t>
  </si>
  <si>
    <t>-2.145415</t>
  </si>
  <si>
    <t>43.025348</t>
  </si>
  <si>
    <t>ZULUETA</t>
  </si>
  <si>
    <t>DANIEL URKOLA BELOKI</t>
  </si>
  <si>
    <t>557907.00</t>
  </si>
  <si>
    <t>4758580.00</t>
  </si>
  <si>
    <t>-2.289816</t>
  </si>
  <si>
    <t>42.977672</t>
  </si>
  <si>
    <t>ZEGAMA</t>
  </si>
  <si>
    <t>AITA MARREN</t>
  </si>
  <si>
    <t>IORITZ ETXEBERRIA OIARBIDE</t>
  </si>
  <si>
    <t>558955.98</t>
  </si>
  <si>
    <t>4759800.00</t>
  </si>
  <si>
    <t>-2.276823</t>
  </si>
  <si>
    <t>42.988577</t>
  </si>
  <si>
    <t>josemendia66@gmail.com</t>
  </si>
  <si>
    <t>JOSE FRANCISCO MENDIA AZURMENDI</t>
  </si>
  <si>
    <t>557825.65</t>
  </si>
  <si>
    <t>4757231.00</t>
  </si>
  <si>
    <t>-2.290953</t>
  </si>
  <si>
    <t>42.965531</t>
  </si>
  <si>
    <t>ANATXE</t>
  </si>
  <si>
    <t>ANDRES URBIZU MURGIONDO</t>
  </si>
  <si>
    <t>557524.91</t>
  </si>
  <si>
    <t>4756168.00</t>
  </si>
  <si>
    <t>-2.294750</t>
  </si>
  <si>
    <t>42.955982</t>
  </si>
  <si>
    <t>ARAKAMA ENEA</t>
  </si>
  <si>
    <t>MIGUEL MARIA ALUSTIZA ORMAZABAL</t>
  </si>
  <si>
    <t>558967.06</t>
  </si>
  <si>
    <t>4755038.00</t>
  </si>
  <si>
    <t>-2.277190</t>
  </si>
  <si>
    <t>42.945697</t>
  </si>
  <si>
    <t>ARIZTIBERRI</t>
  </si>
  <si>
    <t>IBAI AIZPEOLEA ALUSTIZA</t>
  </si>
  <si>
    <t>558663.68</t>
  </si>
  <si>
    <t>4757811.00</t>
  </si>
  <si>
    <t>-2.280617</t>
  </si>
  <si>
    <t>42.970690</t>
  </si>
  <si>
    <t>ARIZTIMUÑO, ITURBURU BARRENA</t>
  </si>
  <si>
    <t>557932.86</t>
  </si>
  <si>
    <t>4758374.00</t>
  </si>
  <si>
    <t>-2.289520</t>
  </si>
  <si>
    <t>42.975815</t>
  </si>
  <si>
    <t>ARRETXE</t>
  </si>
  <si>
    <t>JOSE IGNACIO LABAKA LOIDI</t>
  </si>
  <si>
    <t>557125.56</t>
  </si>
  <si>
    <t>4758227.00</t>
  </si>
  <si>
    <t>-2.299435</t>
  </si>
  <si>
    <t>42.974553</t>
  </si>
  <si>
    <t>JUAN CRUZ ARRIZABALAGA ETXABE</t>
  </si>
  <si>
    <t>558821.07</t>
  </si>
  <si>
    <t>4759260.00</t>
  </si>
  <si>
    <t>-2.278535</t>
  </si>
  <si>
    <t>42.983725</t>
  </si>
  <si>
    <t>BOMBANE,ZULAMUÑO,KATARRIAGA</t>
  </si>
  <si>
    <t>557403.73</t>
  </si>
  <si>
    <t>4759211.00</t>
  </si>
  <si>
    <t>-2.295923</t>
  </si>
  <si>
    <t>42.983392</t>
  </si>
  <si>
    <t>DINTI BARRENA</t>
  </si>
  <si>
    <t>557287.44</t>
  </si>
  <si>
    <t>4757089.57</t>
  </si>
  <si>
    <t>-2.297566</t>
  </si>
  <si>
    <t>42.964299</t>
  </si>
  <si>
    <t>EZPALEO</t>
  </si>
  <si>
    <t>559098.66</t>
  </si>
  <si>
    <t>4754977.00</t>
  </si>
  <si>
    <t>-2.275583</t>
  </si>
  <si>
    <t>42.945138</t>
  </si>
  <si>
    <t>LUIS ANGEL OIARBIDE LASA</t>
  </si>
  <si>
    <t>556738.27</t>
  </si>
  <si>
    <t>4757379.00</t>
  </si>
  <si>
    <t>-2.304270</t>
  </si>
  <si>
    <t>42.966946</t>
  </si>
  <si>
    <t>UZTARAN</t>
  </si>
  <si>
    <t>JUAN AZURMENDI AIA</t>
  </si>
  <si>
    <t>556494.78</t>
  </si>
  <si>
    <t>4762919.00</t>
  </si>
  <si>
    <t>-2.306695</t>
  </si>
  <si>
    <t>43.016849</t>
  </si>
  <si>
    <t>ARIZTIZABAL</t>
  </si>
  <si>
    <t>557807.77</t>
  </si>
  <si>
    <t>4761015.00</t>
  </si>
  <si>
    <t>-2.290781</t>
  </si>
  <si>
    <t>42.999606</t>
  </si>
  <si>
    <t>ARROLA GOIKOA</t>
  </si>
  <si>
    <t>ION LEKUONA SARASOLA</t>
  </si>
  <si>
    <t>558524.15</t>
  </si>
  <si>
    <t>4760984.00</t>
  </si>
  <si>
    <t>-2.281996</t>
  </si>
  <si>
    <t>42.999272</t>
  </si>
  <si>
    <t>BARBARI HAUNDI</t>
  </si>
  <si>
    <t>MARIA MILAGROS ALUSTIZA ALDANONDO</t>
  </si>
  <si>
    <t>558105.91</t>
  </si>
  <si>
    <t>4760549.00</t>
  </si>
  <si>
    <t>-2.287172</t>
  </si>
  <si>
    <t>42.995387</t>
  </si>
  <si>
    <t>BARBARI MUÑO</t>
  </si>
  <si>
    <t>CLAUDIO MENDIZABAL MENDIZABAL</t>
  </si>
  <si>
    <t>557986.01</t>
  </si>
  <si>
    <t>4760721.00</t>
  </si>
  <si>
    <t>-2.288625</t>
  </si>
  <si>
    <t>42.996945</t>
  </si>
  <si>
    <t>BASAZABAL</t>
  </si>
  <si>
    <t>943800483 / 673523962</t>
  </si>
  <si>
    <t>JAVIER MUÑOA GERRIKO</t>
  </si>
  <si>
    <t>559442.81</t>
  </si>
  <si>
    <t>4762271.00</t>
  </si>
  <si>
    <t>-2.270589</t>
  </si>
  <si>
    <t>43.010789</t>
  </si>
  <si>
    <t>KAMINPE</t>
  </si>
  <si>
    <t>GAROA GAZTAK</t>
  </si>
  <si>
    <t>garoagaztak@gmail.com</t>
  </si>
  <si>
    <t>GAROA SC</t>
  </si>
  <si>
    <t>559227.01</t>
  </si>
  <si>
    <t>4762236.00</t>
  </si>
  <si>
    <t>-2.273240</t>
  </si>
  <si>
    <t>43.010491</t>
  </si>
  <si>
    <t>MENDI BEHEKOA</t>
  </si>
  <si>
    <t>MIREN JOSUNE BENGOETXEA OTERMIN</t>
  </si>
  <si>
    <t>560353.96</t>
  </si>
  <si>
    <t>4763033.61</t>
  </si>
  <si>
    <t>-2.259327</t>
  </si>
  <si>
    <t>43.017584</t>
  </si>
  <si>
    <t>NERE AMETSA</t>
  </si>
  <si>
    <t>559518.47</t>
  </si>
  <si>
    <t>4763074.00</t>
  </si>
  <si>
    <t>-2.269575</t>
  </si>
  <si>
    <t>43.018014</t>
  </si>
  <si>
    <t>OIHARTE</t>
  </si>
  <si>
    <t>690793507 / 686299158</t>
  </si>
  <si>
    <t>OIHARTE S.C.</t>
  </si>
  <si>
    <t xml:space="preserve">BAI </t>
  </si>
  <si>
    <t>559517.07</t>
  </si>
  <si>
    <t>4762438.00</t>
  </si>
  <si>
    <t>-2.269660</t>
  </si>
  <si>
    <t>43.012287</t>
  </si>
  <si>
    <t>OLABIDE</t>
  </si>
  <si>
    <t>OLABIDE ELKARTE ZIBILA</t>
  </si>
  <si>
    <t>559614.33</t>
  </si>
  <si>
    <t>4761986.00</t>
  </si>
  <si>
    <t>-2.268515</t>
  </si>
  <si>
    <t>43.008209</t>
  </si>
  <si>
    <t>OTATZA GOIKOA</t>
  </si>
  <si>
    <t>MARIA CARMEN MENDIZABAL ELIZEGI</t>
  </si>
  <si>
    <t>OTATZA SAGARDOTEGIA, SL</t>
  </si>
  <si>
    <t>559904.00</t>
  </si>
  <si>
    <t>4761992.00</t>
  </si>
  <si>
    <t>-2.264960</t>
  </si>
  <si>
    <t>43.008241</t>
  </si>
  <si>
    <t>TXANGONEA</t>
  </si>
  <si>
    <t>garbietxeoia@gmail.com</t>
  </si>
  <si>
    <t>J ETXEZARRETA ANAIAK ELKARTE ZIBILA</t>
  </si>
  <si>
    <t>556626.02</t>
  </si>
  <si>
    <t>4762888.00</t>
  </si>
  <si>
    <t>-2.305088</t>
  </si>
  <si>
    <t>43.016560</t>
  </si>
  <si>
    <t>URRUTIKO-ETXEA</t>
  </si>
  <si>
    <t>560042.69</t>
  </si>
  <si>
    <t>4762433.00</t>
  </si>
  <si>
    <t>-2.263211</t>
  </si>
  <si>
    <t>43.012201</t>
  </si>
  <si>
    <t>ZABALEGI (2)</t>
  </si>
  <si>
    <t>LUISAM.AYERBE@GMAIL.COM</t>
  </si>
  <si>
    <t>GREGORIO BALERDI BERASATEGI</t>
  </si>
  <si>
    <t>556777.94</t>
  </si>
  <si>
    <t>4770516.00</t>
  </si>
  <si>
    <t>-2.302446</t>
  </si>
  <si>
    <t>43.085234</t>
  </si>
  <si>
    <t>943726431 / 675711147</t>
  </si>
  <si>
    <t>agerreintxaurrak@gmail.com</t>
  </si>
  <si>
    <t>JOSE LIZARRALDE ZABALA</t>
  </si>
  <si>
    <t>556784.09</t>
  </si>
  <si>
    <t>4772819.00</t>
  </si>
  <si>
    <t>-2.302135</t>
  </si>
  <si>
    <t>43.105970</t>
  </si>
  <si>
    <t>AITZA</t>
  </si>
  <si>
    <t>MAITANEK@HOTMAIL.COM</t>
  </si>
  <si>
    <t>ANA LORETO JAUREGI ARRESE</t>
  </si>
  <si>
    <t>556074.94</t>
  </si>
  <si>
    <t>4771868.00</t>
  </si>
  <si>
    <t>-2.310946</t>
  </si>
  <si>
    <t>43.097460</t>
  </si>
  <si>
    <t>AIZPURU</t>
  </si>
  <si>
    <t>MARIA ARANBERRI ALDANONDO</t>
  </si>
  <si>
    <t>556460.25</t>
  </si>
  <si>
    <t>4770193.00</t>
  </si>
  <si>
    <t>-2.306381</t>
  </si>
  <si>
    <t>43.082349</t>
  </si>
  <si>
    <t>ALDASBARREN</t>
  </si>
  <si>
    <t>556155.81</t>
  </si>
  <si>
    <t>4772530.00</t>
  </si>
  <si>
    <t>-2.309885</t>
  </si>
  <si>
    <t>43.103414</t>
  </si>
  <si>
    <t>ATXIBITA</t>
  </si>
  <si>
    <t>557653.73</t>
  </si>
  <si>
    <t>4771950.00</t>
  </si>
  <si>
    <t>-2.291538</t>
  </si>
  <si>
    <t>43.098080</t>
  </si>
  <si>
    <t>ELORRIAGA AZPIKOA</t>
  </si>
  <si>
    <t>MARIA ISABEL ARAKAMA OIARZABAL</t>
  </si>
  <si>
    <t>556424.61</t>
  </si>
  <si>
    <t>4771062.00</t>
  </si>
  <si>
    <t>-2.306731</t>
  </si>
  <si>
    <t>43.090176</t>
  </si>
  <si>
    <t>GURRUTXAGA</t>
  </si>
  <si>
    <t>MAITE AUSIN UNZURRUNZAGA</t>
  </si>
  <si>
    <t>556333.86</t>
  </si>
  <si>
    <t>4770983.00</t>
  </si>
  <si>
    <t>-2.307854</t>
  </si>
  <si>
    <t>43.089472</t>
  </si>
  <si>
    <t>GURRUTXAGA AZPIKOA</t>
  </si>
  <si>
    <t>MARIA ARANZAZU ALBERDI ORMAZABAL</t>
  </si>
  <si>
    <t>555640.04</t>
  </si>
  <si>
    <t>4772949.00</t>
  </si>
  <si>
    <t>-2.316181</t>
  </si>
  <si>
    <t>43.107225</t>
  </si>
  <si>
    <t>IGABERRI</t>
  </si>
  <si>
    <t>JOSE LUIS ZABALETA BEAIN</t>
  </si>
  <si>
    <t>556658.92</t>
  </si>
  <si>
    <t>-2.303869</t>
  </si>
  <si>
    <t>43.088664</t>
  </si>
  <si>
    <t>MIKEL ETXEBERRIA ARANBURU</t>
  </si>
  <si>
    <t>555660.57</t>
  </si>
  <si>
    <t>4773466.00</t>
  </si>
  <si>
    <t>-2.315877</t>
  </si>
  <si>
    <t>43.111879</t>
  </si>
  <si>
    <t>LETURI BARRENA</t>
  </si>
  <si>
    <t>JUAN SORALUZE ALBERDI</t>
  </si>
  <si>
    <t>555559.87</t>
  </si>
  <si>
    <t>4773132.00</t>
  </si>
  <si>
    <t>-2.317148</t>
  </si>
  <si>
    <t>43.108879</t>
  </si>
  <si>
    <t>LETURIONDO</t>
  </si>
  <si>
    <t>943723635 / 695775653 / 653424260</t>
  </si>
  <si>
    <t>leturiondobaserria@hotmail.com</t>
  </si>
  <si>
    <t>AIMAR ALBERDI AGIRRE</t>
  </si>
  <si>
    <t>554956.86</t>
  </si>
  <si>
    <t>4774246.00</t>
  </si>
  <si>
    <t>-2.324448</t>
  </si>
  <si>
    <t>43.118954</t>
  </si>
  <si>
    <t>MUXIKA-BEKOA</t>
  </si>
  <si>
    <t>ARANTXA BEGIRISTAIN PLAZAOLA</t>
  </si>
  <si>
    <t>556398.01</t>
  </si>
  <si>
    <t>4773610.00</t>
  </si>
  <si>
    <t>-2.306799</t>
  </si>
  <si>
    <t>43.113121</t>
  </si>
  <si>
    <t>OLARTE</t>
  </si>
  <si>
    <t>IZ.OLARTE@GMAIL.COM</t>
  </si>
  <si>
    <t>IÑAKI ZUNZUNEGI OIARBIDE</t>
  </si>
  <si>
    <t>556675.19</t>
  </si>
  <si>
    <t>4772996.00</t>
  </si>
  <si>
    <t>-2.303455</t>
  </si>
  <si>
    <t>43.107572</t>
  </si>
  <si>
    <t>ORAA GOIKOA</t>
  </si>
  <si>
    <t>m.j.zubillaga@hotmail.com</t>
  </si>
  <si>
    <t>MARIA JOSE ZUBILLAGA AZPILLAGA</t>
  </si>
  <si>
    <t>557433.34</t>
  </si>
  <si>
    <t>4771465.00</t>
  </si>
  <si>
    <t>-2.294296</t>
  </si>
  <si>
    <t>43.093729</t>
  </si>
  <si>
    <t>SAGASPE</t>
  </si>
  <si>
    <t>943724403 / 655701864</t>
  </si>
  <si>
    <t>zalduajesus@gmail.com</t>
  </si>
  <si>
    <t>IRATI AIZPURUA SALEGUI</t>
  </si>
  <si>
    <t>557218.72</t>
  </si>
  <si>
    <t>4770720.00</t>
  </si>
  <si>
    <t>-2.297010</t>
  </si>
  <si>
    <t>43.087037</t>
  </si>
  <si>
    <t>SALSAMENDI</t>
  </si>
  <si>
    <t>JOSEBA IÑAKI IZAGIRRE ONDARRA</t>
  </si>
  <si>
    <t>556465.21</t>
  </si>
  <si>
    <t>4770708.00</t>
  </si>
  <si>
    <t>-2.306268</t>
  </si>
  <si>
    <t>43.086986</t>
  </si>
  <si>
    <t>MARIA JESUS ARZELUS GORROTXATEGI</t>
  </si>
  <si>
    <t>554481.66</t>
  </si>
  <si>
    <t>4773829.00</t>
  </si>
  <si>
    <t>-2.330330</t>
  </si>
  <si>
    <t>43.115233</t>
  </si>
  <si>
    <t>URRUZTI</t>
  </si>
  <si>
    <t>MIKEL ZABALETA IZAGIRRE</t>
  </si>
  <si>
    <t>554419.32</t>
  </si>
  <si>
    <t>4774512.00</t>
  </si>
  <si>
    <t>-2.331029</t>
  </si>
  <si>
    <t>43.121388</t>
  </si>
  <si>
    <t>ZUMAKORTA</t>
  </si>
  <si>
    <t>627640849 / 647445342</t>
  </si>
  <si>
    <t>JUAN MARIA LEGORBURU PLAZAOLA</t>
  </si>
  <si>
    <t>567053.95</t>
  </si>
  <si>
    <t>4761930.60</t>
  </si>
  <si>
    <t>-2.177244</t>
  </si>
  <si>
    <t>43.007091</t>
  </si>
  <si>
    <t>IGONIZ BASOAK</t>
  </si>
  <si>
    <t>LAUHAITZETA</t>
  </si>
  <si>
    <t>JON ETXEBERRIA URBIZU</t>
  </si>
  <si>
    <t>DUQUE DEL INFANTADO</t>
  </si>
  <si>
    <t>565462.12</t>
  </si>
  <si>
    <t>4766378.04</t>
  </si>
  <si>
    <t>-2.196251</t>
  </si>
  <si>
    <t>43.047275</t>
  </si>
  <si>
    <t>BASAKORTA</t>
  </si>
  <si>
    <t>EGURROLA ELKARTEA</t>
  </si>
  <si>
    <t>MENDIN-BERRI BORDA</t>
  </si>
  <si>
    <t>JOSE CRUZ BARANDIARAN ARRATIBEL</t>
  </si>
  <si>
    <t>AORTA</t>
  </si>
  <si>
    <t>558647.11</t>
  </si>
  <si>
    <t>4766586.77</t>
  </si>
  <si>
    <t>-2.279898</t>
  </si>
  <si>
    <t>43.049711</t>
  </si>
  <si>
    <t>GABIRI BASOA,UZKATZA BASOA</t>
  </si>
  <si>
    <t>562477.77</t>
  </si>
  <si>
    <t>4762530.76</t>
  </si>
  <si>
    <t>-2.233322</t>
  </si>
  <si>
    <t>43.012885</t>
  </si>
  <si>
    <t>AVICOLA GORROTXATEGI</t>
  </si>
  <si>
    <t>JOKIN BASOAK</t>
  </si>
  <si>
    <t>MALEZA, ETXEGARATE, SASKAIN</t>
  </si>
  <si>
    <t>566248.00</t>
  </si>
  <si>
    <t>4764941.32</t>
  </si>
  <si>
    <t>-2.186774</t>
  </si>
  <si>
    <t>BIONA</t>
  </si>
  <si>
    <t>waqali09@gmail.com</t>
  </si>
  <si>
    <t>INTXAURRAZPI</t>
  </si>
  <si>
    <t>AVICOLA SAN BLAS SL</t>
  </si>
  <si>
    <t>ANDURIO BASOA</t>
  </si>
  <si>
    <t>554281.59</t>
  </si>
  <si>
    <t>4766608.06</t>
  </si>
  <si>
    <t>-2.333494</t>
  </si>
  <si>
    <t>43.050228</t>
  </si>
  <si>
    <t>ARANA HAUNDI</t>
  </si>
  <si>
    <t>EGIZEAR</t>
  </si>
  <si>
    <t>943733046 / 687638505</t>
  </si>
  <si>
    <t>ISIDRO GALDOS</t>
  </si>
  <si>
    <t>IZARRE BASO</t>
  </si>
  <si>
    <t>JUAN MARI INSAUSTI IZAGIRRE</t>
  </si>
  <si>
    <t>URBAUNDI,OTZAURTE ALDEA</t>
  </si>
  <si>
    <t>KORTATXO</t>
  </si>
  <si>
    <t>JESUS MARI OTERMIN ARANBURU</t>
  </si>
  <si>
    <t>KOSTURRUTZU</t>
  </si>
  <si>
    <t>MARIA JESUS OLAETXEA ZABALO</t>
  </si>
  <si>
    <t>ELORREGI BEKOA</t>
  </si>
  <si>
    <t>ERRAUTEGI</t>
  </si>
  <si>
    <t>URTASOLA</t>
  </si>
  <si>
    <t>569284.66</t>
  </si>
  <si>
    <t>4770658.40</t>
  </si>
  <si>
    <t>-2.148790</t>
  </si>
  <si>
    <t>43.085476</t>
  </si>
  <si>
    <t>KUATE ERDI</t>
  </si>
  <si>
    <t>LEGAZPIKO UDALA</t>
  </si>
  <si>
    <t>MUGAMENDI</t>
  </si>
  <si>
    <t>560842.95</t>
  </si>
  <si>
    <t>4762011.30</t>
  </si>
  <si>
    <t>-2.253438</t>
  </si>
  <si>
    <t>43.008340</t>
  </si>
  <si>
    <t>SANTA ENGRAZI</t>
  </si>
  <si>
    <t>555824.15</t>
  </si>
  <si>
    <t>4771397.95</t>
  </si>
  <si>
    <t>-2.314074</t>
  </si>
  <si>
    <t>43.093246</t>
  </si>
  <si>
    <t>ELOSITXA</t>
  </si>
  <si>
    <t>JUANA FRANCISCA ALKORTA ARABAOLAZA</t>
  </si>
  <si>
    <t>URKIARAN</t>
  </si>
  <si>
    <t>HERMANOS URBIZU S.C.</t>
  </si>
  <si>
    <t>569155.91</t>
  </si>
  <si>
    <t>4765405.83</t>
  </si>
  <si>
    <t>-2.151024</t>
  </si>
  <si>
    <t>43.038194</t>
  </si>
  <si>
    <t>SUEGI</t>
  </si>
  <si>
    <t>JOSE IGNAZIO ZUMALDE GOITIA</t>
  </si>
  <si>
    <t>557882.52</t>
  </si>
  <si>
    <t>4758347.11</t>
  </si>
  <si>
    <t>-2.290140</t>
  </si>
  <si>
    <t>42.975577</t>
  </si>
  <si>
    <t>ALDERDI EDER</t>
  </si>
  <si>
    <t>DOMINGO ARRIETA ETXEZARRETA</t>
  </si>
  <si>
    <t>SUDUPE</t>
  </si>
  <si>
    <t>ESTITXU SUDUPE BELLOSO</t>
  </si>
  <si>
    <t>ITURRALDE ETXEA</t>
  </si>
  <si>
    <t>JERONIMO NAZABAL ETXEBERRIA</t>
  </si>
  <si>
    <t>GRANJA URBIZU</t>
  </si>
  <si>
    <t>HERRI SAILAK</t>
  </si>
  <si>
    <t>ASEMENDI-BARRENA</t>
  </si>
  <si>
    <t>IMANOL AZURMENDI IRAZU</t>
  </si>
  <si>
    <t>BARRENALDEA</t>
  </si>
  <si>
    <t>iratxeorma@hotmail.com</t>
  </si>
  <si>
    <t>XABIER AZURMENDI UTRILLA</t>
  </si>
  <si>
    <t>555810.37</t>
  </si>
  <si>
    <t>4771067.05</t>
  </si>
  <si>
    <t>-2.314277</t>
  </si>
  <si>
    <t>43.090267</t>
  </si>
  <si>
    <t>IGARZABAL,ETXEBERRI</t>
  </si>
  <si>
    <t>SANTA LUZIKO FERIA</t>
  </si>
  <si>
    <t>HIRUETXETA</t>
  </si>
  <si>
    <t>IMANOL RUIZ DE EGINO ZABALETA</t>
  </si>
  <si>
    <t>INTXARTZUETA</t>
  </si>
  <si>
    <t>anamunoa16@gmail.com</t>
  </si>
  <si>
    <t>ANA  MUÑOA UBIS</t>
  </si>
  <si>
    <t>ARTZABALTZA</t>
  </si>
  <si>
    <t>artzabaltzabaserria@gmail.com</t>
  </si>
  <si>
    <t>AMEZKETA</t>
  </si>
  <si>
    <t>ARGAIA GOENA</t>
  </si>
  <si>
    <t>agarmendia87@hotmail.com</t>
  </si>
  <si>
    <t>AINTZANE GARMENDIA</t>
  </si>
  <si>
    <t>LOIDI</t>
  </si>
  <si>
    <t>loidiamezketa@gmail.com</t>
  </si>
  <si>
    <t>UXUE ARTOLA</t>
  </si>
  <si>
    <t>JOSEBA AINGERU IRAZUSTA LIZASO</t>
  </si>
  <si>
    <t>SALTSAMENDI</t>
  </si>
  <si>
    <t>AITOR URDANGARIN IRASTORZA</t>
  </si>
  <si>
    <t>BIDANIA-GOIATZ</t>
  </si>
  <si>
    <t>SUSTRAI ASKEAK</t>
  </si>
  <si>
    <t>formalidad4eficacia@gmail.com</t>
  </si>
  <si>
    <t>NATALIA MAGALLANES</t>
  </si>
  <si>
    <t>garikoitzaiesta@gmail.com</t>
  </si>
  <si>
    <t>goiekoharagia.wordpress.com</t>
  </si>
  <si>
    <t>GARIKOITZ AIESTA ETXANIZ</t>
  </si>
  <si>
    <t>OLAZABAL</t>
  </si>
  <si>
    <t>ROSA ETXANIZ GARCIA</t>
  </si>
  <si>
    <t>ZABALEGI</t>
  </si>
  <si>
    <t>LURDES MAIZ ETXABE</t>
  </si>
  <si>
    <t>jetxaniz406@gmail.com</t>
  </si>
  <si>
    <t>JOSU ETXANIZ</t>
  </si>
  <si>
    <t>LUIS MARIA AMIAMA BELOQUI</t>
  </si>
  <si>
    <t>ARMAINDEGE</t>
  </si>
  <si>
    <t>943881875 / 692716211</t>
  </si>
  <si>
    <t>Mª LUISA IRASTORZA</t>
  </si>
  <si>
    <t>GURE BORDA</t>
  </si>
  <si>
    <t>943730673 / 688641789</t>
  </si>
  <si>
    <t>FCO. JAVIER ALUSTIZA</t>
  </si>
  <si>
    <t>BASABE</t>
  </si>
  <si>
    <t>info@basabegaragardoak.eus</t>
  </si>
  <si>
    <t>AINITZE SALA INSAUSTI</t>
  </si>
  <si>
    <t>JULEN IRURZUN IRAOLA</t>
  </si>
  <si>
    <t>BARRENDIOLA</t>
  </si>
  <si>
    <t>MARIA JESUS AGIRRE</t>
  </si>
  <si>
    <t>MURU</t>
  </si>
  <si>
    <t>muruazpi@euskalnet.net</t>
  </si>
  <si>
    <t>RUFINO TELLERIA</t>
  </si>
  <si>
    <t>TELLERI</t>
  </si>
  <si>
    <t>Mª TERE MADINABEITIA</t>
  </si>
  <si>
    <t>UDANA BENTA</t>
  </si>
  <si>
    <t>943585150/627590170</t>
  </si>
  <si>
    <t>udanakoogia@gmail.com</t>
  </si>
  <si>
    <t>MAITE ITURBE ELGARRESTA</t>
  </si>
  <si>
    <t>GOIERRIKO NEKAZAL KOPERATIBA ELKARTEA</t>
  </si>
  <si>
    <t>ERSOLEGI</t>
  </si>
  <si>
    <t>GREGORIO ARANGUREN</t>
  </si>
  <si>
    <t>ZULOAGA</t>
  </si>
  <si>
    <t>943723910 / 663486808</t>
  </si>
  <si>
    <t>KEPA TELLERIA ARANGUREN</t>
  </si>
  <si>
    <t>ENDAIA OKINDEGIA SL</t>
  </si>
  <si>
    <t>JON LIZARRAGA LIZARAZU</t>
  </si>
  <si>
    <t>BALERDIPE</t>
  </si>
  <si>
    <t>MATTIN JAUREGUI ECHEVARRIA</t>
  </si>
  <si>
    <t>EUSKABER KOOP. S</t>
  </si>
  <si>
    <t>UZTAOLA ELKARTEA</t>
  </si>
  <si>
    <t>GIPUZKOAKO ERLEZAIN ELKARTEA</t>
  </si>
  <si>
    <t>LUMAGORRI</t>
  </si>
  <si>
    <t>943 800 100</t>
  </si>
  <si>
    <t>lumagorri@lumagorri.eus</t>
  </si>
  <si>
    <t>LUMAGORRI SL</t>
  </si>
  <si>
    <t>ELIANA LOPEZ GUZMAN</t>
  </si>
  <si>
    <t>MARTIAMUÑO</t>
  </si>
  <si>
    <t>680 54 35 14</t>
  </si>
  <si>
    <t>edurneastigarragaoteiza@gmail.com</t>
  </si>
  <si>
    <t>EDURNE ASTIGARRAGA</t>
  </si>
  <si>
    <t>-2.262751</t>
  </si>
  <si>
    <t>-2.202079</t>
  </si>
  <si>
    <t>-2.196003</t>
  </si>
  <si>
    <t>-2.258102</t>
  </si>
  <si>
    <t>-2.185535</t>
  </si>
  <si>
    <t>-2.333293</t>
  </si>
  <si>
    <t>-2.333419</t>
  </si>
  <si>
    <t>-2.198149</t>
  </si>
  <si>
    <t>-2.203250</t>
  </si>
  <si>
    <t>-2.179239</t>
  </si>
  <si>
    <t>-2.325429</t>
  </si>
  <si>
    <t>-2.318424</t>
  </si>
  <si>
    <t>-2.314262</t>
  </si>
  <si>
    <t>https://munduatepiparrak.eus/</t>
  </si>
  <si>
    <t>OTATZA</t>
  </si>
  <si>
    <t>gnk1920@gnk.eus</t>
  </si>
  <si>
    <t>GNK || GOIERRIKO NEKAZAL KOOPERATIBA 1920tik zuekin</t>
  </si>
  <si>
    <t>Sare sozialak</t>
  </si>
  <si>
    <t>HELBIDEA</t>
  </si>
  <si>
    <t>Makatza baserria, Telleriarte 47, Legazpi</t>
  </si>
  <si>
    <t>ARGAZKIA</t>
  </si>
  <si>
    <t>ekoizleak</t>
  </si>
  <si>
    <t>Makatza</t>
  </si>
  <si>
    <t>Jangela kolektiboak</t>
  </si>
  <si>
    <t>Artzabaltza baserria, Altzaga bidea 2, Altzaga</t>
  </si>
  <si>
    <t>Makatza.jpg</t>
  </si>
  <si>
    <t>https://www.instagram.com/makatza_baserria/?utm_source=ig_web_button_share_sheet</t>
  </si>
  <si>
    <t>URTEAGA-URKULEGI</t>
  </si>
  <si>
    <t>Urteaga baserria 19, Itsaso</t>
  </si>
  <si>
    <t>https://www.instagram.com/urteaga.urkulegi/?utm_source=ig_web_button_share_sheet</t>
  </si>
  <si>
    <t>Urteaga-urkulegi.jpg</t>
  </si>
  <si>
    <t>MANDUBI-ZAHAR</t>
  </si>
  <si>
    <t>Mandubi-zahar.jpg</t>
  </si>
  <si>
    <t>Saltsamendi baserria, Gudugarreta 8, Beasain</t>
  </si>
  <si>
    <t>bizisaltsamendi@gmail.com</t>
  </si>
  <si>
    <t>https://www.instagram.com/bizisaltsamendi/?utm_source=ig_web_button_share_sheet</t>
  </si>
  <si>
    <t>Saltsamendi.jpg</t>
  </si>
  <si>
    <t>BISITAK</t>
  </si>
  <si>
    <t>ELI ELGARRESTA / ASIER OSINALDE</t>
  </si>
  <si>
    <t>Baztarrika baserria, Ugarana Goikoa auzoa 12, Gabiria</t>
  </si>
  <si>
    <t>678201842 / 656763595</t>
  </si>
  <si>
    <t>https://www.instagram.com/baztarrikagaztak/?utm_source=ig_web_button_share_sheet, https://www.facebook.com/pages/Baztarrika%20Gaztak/215232585731077/#</t>
  </si>
  <si>
    <t>Baztarrika.jpg</t>
  </si>
  <si>
    <t>-2.132952</t>
  </si>
  <si>
    <t>43.029292</t>
  </si>
  <si>
    <t>GOIMEN ELKARTEA</t>
  </si>
  <si>
    <t>Olaeta Auzoa 6, Zaldibia</t>
  </si>
  <si>
    <t>goimen@goimen.org</t>
  </si>
  <si>
    <t>logo.png</t>
  </si>
  <si>
    <t>https://www.instagram.com/goimenelkartea/?utm_source=ig_web_button_share_sheet, https://www.facebook.com/goimen.goizane/</t>
  </si>
  <si>
    <t>-2.154169</t>
  </si>
  <si>
    <t>43.063366</t>
  </si>
  <si>
    <t>-2.223214</t>
  </si>
  <si>
    <t>43.054646</t>
  </si>
  <si>
    <t>Goierriko nekazal koop (GNK)</t>
  </si>
  <si>
    <t>goiekoharagia.wordpress.com, altxaporrutaldea.blogspot.com</t>
  </si>
  <si>
    <t>Barazkiak aire librean</t>
  </si>
  <si>
    <t>Barazkiak negutegian</t>
  </si>
  <si>
    <t>-2.263431</t>
  </si>
  <si>
    <t>43.007745</t>
  </si>
  <si>
    <t>Iñaki Azurmendi</t>
  </si>
  <si>
    <t>Iztueta elkartea</t>
  </si>
  <si>
    <t>Legazpiko kooperatiba</t>
  </si>
  <si>
    <t>Urkaiko kooperatiba</t>
  </si>
  <si>
    <t>https://www.instagram.com/biziolasarea/?utm_source=ig_web_button_share_sheet</t>
  </si>
  <si>
    <t>Astelehenetik ostiralera 10:00-19:00
Larunbatak 9:30-13:00
Igandeak itxita</t>
  </si>
  <si>
    <t>web</t>
  </si>
  <si>
    <t>https://zumarragakoazoka.eus/eu/saltzaileak/</t>
  </si>
  <si>
    <t>https://www.beasain.eus/ekoizleak-azoka</t>
  </si>
  <si>
    <t>https://www.ordiziakoazoka.eus/es/productores/fichas-productores</t>
  </si>
  <si>
    <t>ORDUTEGIA</t>
  </si>
  <si>
    <t>Ibur Hi­pica</t>
  </si>
  <si>
    <t>https://www.goimen.org/</t>
  </si>
  <si>
    <t>Beasaingo azoka</t>
  </si>
  <si>
    <t>Lazkaoko azoka</t>
  </si>
  <si>
    <t>Legazpiko azoka</t>
  </si>
  <si>
    <t>Ordiziako azoka</t>
  </si>
  <si>
    <t>Zumarragako azoka</t>
  </si>
  <si>
    <t>OREKA OKINDEGIA</t>
  </si>
  <si>
    <t>10/12/1979</t>
  </si>
  <si>
    <t>elyvl22@hotmail.com</t>
  </si>
  <si>
    <t>https://www.balerdipeko.eus/</t>
  </si>
  <si>
    <t xml:space="preserve">  </t>
  </si>
  <si>
    <t>ANDER DEL RIO ZUBELDIA / SOPHIE ELLIESEN RASCON</t>
  </si>
  <si>
    <t>Kixkurgune</t>
  </si>
  <si>
    <t>-2.217613</t>
  </si>
  <si>
    <t>43.032179</t>
  </si>
  <si>
    <t>-2.178972</t>
  </si>
  <si>
    <t>43.054534</t>
  </si>
  <si>
    <t>-2.132672</t>
  </si>
  <si>
    <t>43.029448</t>
  </si>
  <si>
    <t>-2.247014</t>
  </si>
  <si>
    <t>43.086682</t>
  </si>
  <si>
    <t>-2.187929</t>
  </si>
  <si>
    <t>43.040127</t>
  </si>
  <si>
    <t>-2.185539</t>
  </si>
  <si>
    <t>43.035402</t>
  </si>
  <si>
    <t>-2.028061</t>
  </si>
  <si>
    <t>43.052372</t>
  </si>
  <si>
    <t>-2.133343</t>
  </si>
  <si>
    <t>43.029351</t>
  </si>
  <si>
    <t>-2.132966</t>
  </si>
  <si>
    <t>43.029266</t>
  </si>
  <si>
    <t>-2.132844</t>
  </si>
  <si>
    <t>43.029297</t>
  </si>
  <si>
    <t>-2.265240</t>
  </si>
  <si>
    <t>43.011883</t>
  </si>
  <si>
    <t>UZTAOLA</t>
  </si>
  <si>
    <t>EUSKABER</t>
  </si>
  <si>
    <t>https://www.instagram.com/goierrikonekazal/</t>
  </si>
  <si>
    <t>sexua</t>
  </si>
  <si>
    <t>E</t>
  </si>
  <si>
    <t>G</t>
  </si>
  <si>
    <t>-</t>
  </si>
  <si>
    <t>mixto</t>
  </si>
  <si>
    <t>JOSEBA TELLERIA ZUBELDIA</t>
  </si>
  <si>
    <t>ONIK</t>
  </si>
  <si>
    <t>ainitze81@gmail.com</t>
  </si>
  <si>
    <t xml:space="preserve"> </t>
  </si>
  <si>
    <t>BEIZTINBERRI</t>
  </si>
  <si>
    <t>-2.172155</t>
  </si>
  <si>
    <t>43.031116</t>
  </si>
  <si>
    <t>Argazkiak</t>
  </si>
  <si>
    <t>Beasaintakila.jpeg</t>
  </si>
  <si>
    <t>ARANTXA LOPETEGI</t>
  </si>
  <si>
    <t>LAU HAIZETA</t>
  </si>
  <si>
    <t> -2.1547</t>
  </si>
  <si>
    <t>IÑAKI GOROSTEGI</t>
  </si>
  <si>
    <t>943880190 / 686301313</t>
  </si>
  <si>
    <t>https://www.instagram.com/mendizabalabeltzaintza/?hl=es</t>
  </si>
  <si>
    <t> -2.1759</t>
  </si>
  <si>
    <t>MAINDI</t>
  </si>
  <si>
    <t>baindibaratza@gmail.com</t>
  </si>
  <si>
    <t>AITOR ROMAN</t>
  </si>
  <si>
    <t>pili.espilla@gmail.com</t>
  </si>
  <si>
    <t>GOZATU EZTIA</t>
  </si>
  <si>
    <t>Gozatu</t>
  </si>
  <si>
    <t>BELEN MAKAZAGA</t>
  </si>
  <si>
    <t>OILANTXEGI</t>
  </si>
  <si>
    <t>susiwiky@yahoo.es</t>
  </si>
  <si>
    <t>SUSANNE KLEMM</t>
  </si>
  <si>
    <t>OLA</t>
  </si>
  <si>
    <t> 43.0487</t>
  </si>
  <si>
    <t>ANGEL MENDIGUREN IPARRAGIRRE</t>
  </si>
  <si>
    <t>JOSE MARIA AZURMENDI PEÑAGARIKANO</t>
  </si>
  <si>
    <t>MATEO LIZARAZU LASA</t>
  </si>
  <si>
    <t xml:space="preserve">GOITI </t>
  </si>
  <si>
    <t>goitiokindegia@yahoo.es</t>
  </si>
  <si>
    <t>618 345 196</t>
  </si>
  <si>
    <t>https://www.instagram.com/goitibaserria/?hl=es</t>
  </si>
  <si>
    <t>altzibar@altzibar.com</t>
  </si>
  <si>
    <t>https://www.instagram.com/altzibarlorazaintza/?hl=es</t>
  </si>
  <si>
    <t>gorrotxa@huevospitas.es</t>
  </si>
  <si>
    <t>ARANBURU GAZTAK</t>
  </si>
  <si>
    <t>https://quesosaranburu.com/</t>
  </si>
  <si>
    <t>ARIMASAGASTI GAZTAK</t>
  </si>
  <si>
    <t>josebabaez@hotmail.com</t>
  </si>
  <si>
    <t>JOSEBA BAEZ AUZMENDI</t>
  </si>
  <si>
    <t>GOIBURU GAZTAK</t>
  </si>
  <si>
    <t> -2.2331</t>
  </si>
  <si>
    <t>https://www.instagram.com/ondarre_queseria_y_agroturismo/</t>
  </si>
  <si>
    <t>https://gaztainaditxulo.com/</t>
  </si>
  <si>
    <t>https://www.instagram.com/gaztainaditxulo/?hl=es</t>
  </si>
  <si>
    <t>KALBARIO BEHEKOA</t>
  </si>
  <si>
    <t> -2.2329</t>
  </si>
  <si>
    <t>RAMON ASEGINOLAZA</t>
  </si>
  <si>
    <t>AGAPITO GARMENDIA ESQUISABEL</t>
  </si>
  <si>
    <t>ENEKO AZURMENDI URKOLA</t>
  </si>
  <si>
    <t>JOSUNE AROZENA SUKIA</t>
  </si>
  <si>
    <t>IZTUETA AZPIKOA</t>
  </si>
  <si>
    <t>https://www.instagram.com/iztueta.esnekiak/?hl=es</t>
  </si>
  <si>
    <t xml:space="preserve">AITOR ALTUNA </t>
  </si>
  <si>
    <t>IZAR ERDI / IBARLABURU BASERRIAK</t>
  </si>
  <si>
    <t>ERRAIZABAL GAZTAK</t>
  </si>
  <si>
    <t>ELEORTXO ORMAZARRETA / AGERRE BENGOA</t>
  </si>
  <si>
    <t>MUNDUATE PIPARRAK</t>
  </si>
  <si>
    <t>bihotzforcada@hotmail.com</t>
  </si>
  <si>
    <t>JOSE ANGEL MUNDUATE</t>
  </si>
  <si>
    <t>https://www.txakolibengoetxe.com/</t>
  </si>
  <si>
    <t>TXOKO GAZTAK</t>
  </si>
  <si>
    <t>AIZPEA GAZTAK</t>
  </si>
  <si>
    <t>https://www.behiekogaztak.eus/</t>
  </si>
  <si>
    <t>-2.147700</t>
  </si>
  <si>
    <t>43.064200</t>
  </si>
  <si>
    <t>43.064600</t>
  </si>
  <si>
    <t>-2.173463</t>
  </si>
  <si>
    <t>43.063326</t>
  </si>
  <si>
    <t>43.006200</t>
  </si>
  <si>
    <t>-2.236530</t>
  </si>
  <si>
    <t>43.084693</t>
  </si>
  <si>
    <t>-2.198900</t>
  </si>
  <si>
    <t>-2.241900</t>
  </si>
  <si>
    <t>43.021800</t>
  </si>
  <si>
    <t>43.010900</t>
  </si>
  <si>
    <t>43.020600</t>
  </si>
  <si>
    <t>IXIDRO GAZTAK</t>
  </si>
  <si>
    <t>arramendi@artzai-gazta.net</t>
  </si>
  <si>
    <t>http://www.facebook.com/pages/Tximista-Sagardotegia/131561503615053, https://www.instagram.com/tximistasagardotegia/?hl=es</t>
  </si>
  <si>
    <t> -2.2538</t>
  </si>
  <si>
    <t>INAZIO ZALDUA</t>
  </si>
  <si>
    <t>ondarredenda@gmail.com</t>
  </si>
  <si>
    <t>https://aikur.eus/</t>
  </si>
  <si>
    <t>etxabeostolaza@hotmail.es</t>
  </si>
  <si>
    <t>MUGITEGI</t>
  </si>
  <si>
    <t>JOSE RAMON ETXABE OSTOLAZA</t>
  </si>
  <si>
    <t>KONTXI ARIZAGA</t>
  </si>
  <si>
    <t>ARANTXA ARIZTIMUÑO LARRAZA</t>
  </si>
  <si>
    <t>OLTZA GAZTAK</t>
  </si>
  <si>
    <t>maripazoiarbide@gmail.com</t>
  </si>
  <si>
    <t>ALTZUKARAN</t>
  </si>
  <si>
    <t>altzukaran@homail.com</t>
  </si>
  <si>
    <t>JORGE GARCIA GONZALEZ</t>
  </si>
  <si>
    <t>https://www.instagram.com/agerrebaserria/?hl=es</t>
  </si>
  <si>
    <t>-2.274100</t>
  </si>
  <si>
    <t>43.081900</t>
  </si>
  <si>
    <t>-2.339000</t>
  </si>
  <si>
    <t>43.033500</t>
  </si>
  <si>
    <t>-2.276600</t>
  </si>
  <si>
    <t>42.946200</t>
  </si>
  <si>
    <t>-2.325400</t>
  </si>
  <si>
    <t>43.084000</t>
  </si>
  <si>
    <t>43.042800</t>
  </si>
  <si>
    <t>-2.290700</t>
  </si>
  <si>
    <t>42.976500</t>
  </si>
  <si>
    <t>-2.358782</t>
  </si>
  <si>
    <t>43.015256</t>
  </si>
  <si>
    <t xml:space="preserve">Oreka </t>
  </si>
  <si>
    <t>https://biziola.eus/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</si>
</sst>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00"/>
    <numFmt numFmtId="165" formatCode="#,##0.000000"/>
    <numFmt numFmtId="166" formatCode="#,##0.000000000"/>
  </numFmts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70C0"/>
      <name val="Calibri"/>
      <family val="2"/>
    </font>
    <font>
      <u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EEBF7"/>
      </patternFill>
    </fill>
    <fill>
      <patternFill patternType="solid">
        <fgColor rgb="FFF8CBAD"/>
      </patternFill>
    </fill>
    <fill>
      <patternFill patternType="solid">
        <fgColor rgb="FFB4C7E7"/>
      </patternFill>
    </fill>
    <fill>
      <patternFill patternType="solid">
        <fgColor rgb="FFDBDBDB"/>
      </patternFill>
    </fill>
    <fill>
      <patternFill patternType="solid">
        <fgColor rgb="FFFFE699"/>
      </patternFill>
    </fill>
    <fill>
      <patternFill patternType="solid">
        <fgColor rgb="FFD9D9D9"/>
      </patternFill>
    </fill>
    <fill>
      <patternFill patternType="solid">
        <fgColor rgb="FFC5E0B4"/>
      </patternFill>
    </fill>
    <fill>
      <patternFill patternType="solid">
        <fgColor rgb="FFF4B183"/>
      </patternFill>
    </fill>
    <fill>
      <patternFill patternType="solid">
        <fgColor rgb="FFD0CECE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  <xf numFmtId="164" fontId="1" fillId="2" borderId="1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3" fontId="1" fillId="0" borderId="2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1" xfId="1" applyBorder="1" applyAlignment="1">
      <alignment horizontal="center"/>
    </xf>
    <xf numFmtId="0" fontId="4" fillId="0" borderId="0" xfId="1"/>
    <xf numFmtId="0" fontId="3" fillId="0" borderId="2" xfId="0" applyFont="1" applyBorder="1" applyAlignment="1">
      <alignment horizontal="center"/>
    </xf>
    <xf numFmtId="0" fontId="4" fillId="0" borderId="2" xfId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11" borderId="1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1" fillId="0" borderId="1" xfId="0" applyFont="1" applyBorder="1" applyAlignment="1">
      <alignment horizontal="center" wrapText="1"/>
    </xf>
    <xf numFmtId="3" fontId="1" fillId="0" borderId="2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0" fillId="12" borderId="0" xfId="0" applyFill="1" applyAlignment="1">
      <alignment horizontal="center"/>
    </xf>
    <xf numFmtId="0" fontId="4" fillId="0" borderId="0" xfId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12" borderId="2" xfId="0" applyFill="1" applyBorder="1" applyAlignment="1">
      <alignment horizontal="center"/>
    </xf>
    <xf numFmtId="14" fontId="1" fillId="0" borderId="0" xfId="0" applyNumberFormat="1" applyFont="1" applyAlignment="1">
      <alignment horizontal="center"/>
    </xf>
    <xf numFmtId="0" fontId="4" fillId="12" borderId="1" xfId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4" fillId="0" borderId="1" xfId="1" applyBorder="1"/>
    <xf numFmtId="0" fontId="2" fillId="0" borderId="0" xfId="0" applyFont="1" applyAlignment="1">
      <alignment horizontal="center"/>
    </xf>
    <xf numFmtId="166" fontId="1" fillId="0" borderId="2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3" fontId="0" fillId="12" borderId="1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14" fontId="0" fillId="12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/>
    </xf>
    <xf numFmtId="0" fontId="0" fillId="0" borderId="1" xfId="0" applyBorder="1"/>
    <xf numFmtId="14" fontId="1" fillId="0" borderId="2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6" fillId="0" borderId="1" xfId="0" applyFont="1" applyBorder="1"/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2" xfId="1" applyBorder="1"/>
    <xf numFmtId="0" fontId="1" fillId="12" borderId="1" xfId="0" applyFont="1" applyFill="1" applyBorder="1" applyAlignment="1">
      <alignment horizontal="center"/>
    </xf>
    <xf numFmtId="14" fontId="1" fillId="12" borderId="1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12" borderId="2" xfId="1" applyFill="1" applyBorder="1" applyAlignment="1">
      <alignment horizontal="center"/>
    </xf>
    <xf numFmtId="0" fontId="0" fillId="12" borderId="0" xfId="0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%20baindibaratza@gmail.com" TargetMode="External"/><Relationship Id="rId18" Type="http://schemas.openxmlformats.org/officeDocument/2006/relationships/hyperlink" Target="https://www.instagram.com/altzibarlorazaintza/?hl=es" TargetMode="External"/><Relationship Id="rId26" Type="http://schemas.openxmlformats.org/officeDocument/2006/relationships/hyperlink" Target="mailto:%20bihotzforcada@hotmail.com" TargetMode="External"/><Relationship Id="rId21" Type="http://schemas.openxmlformats.org/officeDocument/2006/relationships/hyperlink" Target="mailto:josebabaez@hotmail.com" TargetMode="External"/><Relationship Id="rId34" Type="http://schemas.openxmlformats.org/officeDocument/2006/relationships/hyperlink" Target="mailto:%20altzukaran@homail.com" TargetMode="External"/><Relationship Id="rId7" Type="http://schemas.openxmlformats.org/officeDocument/2006/relationships/hyperlink" Target="mailto:goimen@goimen.org" TargetMode="External"/><Relationship Id="rId12" Type="http://schemas.openxmlformats.org/officeDocument/2006/relationships/hyperlink" Target="https://www.instagram.com/mendizabalabeltzaintza/?hl=es" TargetMode="External"/><Relationship Id="rId17" Type="http://schemas.openxmlformats.org/officeDocument/2006/relationships/hyperlink" Target="mailto:%20altzibar@altzibar.com" TargetMode="External"/><Relationship Id="rId25" Type="http://schemas.openxmlformats.org/officeDocument/2006/relationships/hyperlink" Target="https://www.instagram.com/iztueta.esnekiak/?hl=es" TargetMode="External"/><Relationship Id="rId33" Type="http://schemas.openxmlformats.org/officeDocument/2006/relationships/hyperlink" Target="mailto:%20maripazoiarbide@gmail.com" TargetMode="External"/><Relationship Id="rId2" Type="http://schemas.openxmlformats.org/officeDocument/2006/relationships/hyperlink" Target="https://www.instagram.com/makatza_baserria/?utm_source=ig_web_button_share_sheet" TargetMode="External"/><Relationship Id="rId16" Type="http://schemas.openxmlformats.org/officeDocument/2006/relationships/hyperlink" Target="mailto:goitiokindegia@yahoo.es" TargetMode="External"/><Relationship Id="rId20" Type="http://schemas.openxmlformats.org/officeDocument/2006/relationships/hyperlink" Target="https://quesosaranburu.com/" TargetMode="External"/><Relationship Id="rId29" Type="http://schemas.openxmlformats.org/officeDocument/2006/relationships/hyperlink" Target="mailto:%20arramendi@artzai-gazta.net" TargetMode="External"/><Relationship Id="rId1" Type="http://schemas.openxmlformats.org/officeDocument/2006/relationships/hyperlink" Target="https://munduatepiparrak.eus/" TargetMode="External"/><Relationship Id="rId6" Type="http://schemas.openxmlformats.org/officeDocument/2006/relationships/hyperlink" Target="https://www.instagram.com/baztarrikagaztak/?utm_source=ig_web_button_share_sheet" TargetMode="External"/><Relationship Id="rId11" Type="http://schemas.openxmlformats.org/officeDocument/2006/relationships/hyperlink" Target="mailto:%20waqali09@gmail.com" TargetMode="External"/><Relationship Id="rId24" Type="http://schemas.openxmlformats.org/officeDocument/2006/relationships/hyperlink" Target="https://www.instagram.com/gaztainaditxulo/?hl=es" TargetMode="External"/><Relationship Id="rId32" Type="http://schemas.openxmlformats.org/officeDocument/2006/relationships/hyperlink" Target="mailto:%20etxabeostolaza@hotmail.es" TargetMode="External"/><Relationship Id="rId37" Type="http://schemas.openxmlformats.org/officeDocument/2006/relationships/hyperlink" Target="http://www.baztarrika.com/" TargetMode="External"/><Relationship Id="rId5" Type="http://schemas.openxmlformats.org/officeDocument/2006/relationships/hyperlink" Target="https://www.instagram.com/bizisaltsamendi/?utm_source=ig_web_button_share_sheet" TargetMode="External"/><Relationship Id="rId15" Type="http://schemas.openxmlformats.org/officeDocument/2006/relationships/hyperlink" Target="mailto:%20susiwiky@yahoo.es" TargetMode="External"/><Relationship Id="rId23" Type="http://schemas.openxmlformats.org/officeDocument/2006/relationships/hyperlink" Target="https://gaztainaditxulo.com/" TargetMode="External"/><Relationship Id="rId28" Type="http://schemas.openxmlformats.org/officeDocument/2006/relationships/hyperlink" Target="https://www.behiekogaztak.eus/" TargetMode="External"/><Relationship Id="rId36" Type="http://schemas.openxmlformats.org/officeDocument/2006/relationships/hyperlink" Target="mailto:sagardotegia@oiharte.com" TargetMode="External"/><Relationship Id="rId10" Type="http://schemas.openxmlformats.org/officeDocument/2006/relationships/hyperlink" Target="mailto:ainitze81@gmail.com" TargetMode="External"/><Relationship Id="rId19" Type="http://schemas.openxmlformats.org/officeDocument/2006/relationships/hyperlink" Target="mailto:%20gorrotxa@huevospitas.es" TargetMode="External"/><Relationship Id="rId31" Type="http://schemas.openxmlformats.org/officeDocument/2006/relationships/hyperlink" Target="mailto:aikur@aikur.eus" TargetMode="External"/><Relationship Id="rId4" Type="http://schemas.openxmlformats.org/officeDocument/2006/relationships/hyperlink" Target="mailto:bizisaltsamendi@gmail.com" TargetMode="External"/><Relationship Id="rId9" Type="http://schemas.openxmlformats.org/officeDocument/2006/relationships/hyperlink" Target="https://www.instagram.com/goimenelkartea/?utm_source=ig_web_button_share_sheet" TargetMode="External"/><Relationship Id="rId14" Type="http://schemas.openxmlformats.org/officeDocument/2006/relationships/hyperlink" Target="mailto:%20pili.espilla@gmail.com" TargetMode="External"/><Relationship Id="rId22" Type="http://schemas.openxmlformats.org/officeDocument/2006/relationships/hyperlink" Target="https://www.instagram.com/ondarre_queseria_y_agroturismo/" TargetMode="External"/><Relationship Id="rId27" Type="http://schemas.openxmlformats.org/officeDocument/2006/relationships/hyperlink" Target="https://www.txakolibengoetxe.com/" TargetMode="External"/><Relationship Id="rId30" Type="http://schemas.openxmlformats.org/officeDocument/2006/relationships/hyperlink" Target="https://aikur.eus/" TargetMode="External"/><Relationship Id="rId35" Type="http://schemas.openxmlformats.org/officeDocument/2006/relationships/hyperlink" Target="https://www.instagram.com/agerrebaserria/?hl=es" TargetMode="External"/><Relationship Id="rId8" Type="http://schemas.openxmlformats.org/officeDocument/2006/relationships/hyperlink" Target="https://www.goimen.org/" TargetMode="External"/><Relationship Id="rId3" Type="http://schemas.openxmlformats.org/officeDocument/2006/relationships/hyperlink" Target="https://www.instagram.com/urteaga.urkulegi/?utm_source=ig_web_button_share_shee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nk.eus/" TargetMode="External"/><Relationship Id="rId2" Type="http://schemas.openxmlformats.org/officeDocument/2006/relationships/hyperlink" Target="https://www.gnk.eus/" TargetMode="External"/><Relationship Id="rId1" Type="http://schemas.openxmlformats.org/officeDocument/2006/relationships/hyperlink" Target="mailto:gnk1920@gnk.eus" TargetMode="External"/><Relationship Id="rId5" Type="http://schemas.openxmlformats.org/officeDocument/2006/relationships/hyperlink" Target="mailto:%20ondarredenda@gmail.com" TargetMode="External"/><Relationship Id="rId4" Type="http://schemas.openxmlformats.org/officeDocument/2006/relationships/hyperlink" Target="https://www.instagram.com/biziolasarea/?utm_source=ig_web_button_share_sheet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rdiziakoazoka.eus/es/productores/fichas-productores" TargetMode="External"/><Relationship Id="rId2" Type="http://schemas.openxmlformats.org/officeDocument/2006/relationships/hyperlink" Target="https://www.beasain.eus/ekoizleak-azoka" TargetMode="External"/><Relationship Id="rId1" Type="http://schemas.openxmlformats.org/officeDocument/2006/relationships/hyperlink" Target="https://www.beasain.eus/lehen-larunbateko-azoka" TargetMode="External"/><Relationship Id="rId4" Type="http://schemas.openxmlformats.org/officeDocument/2006/relationships/hyperlink" Target="https://zumarragakoazoka.eus/eu/saltzailea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Y438"/>
  <sheetViews>
    <sheetView topLeftCell="G1" zoomScaleNormal="100" workbookViewId="0">
      <pane ySplit="3" topLeftCell="A4" activePane="bottomLeft" state="frozen"/>
      <selection pane="bottomLeft" activeCell="N5" sqref="N5"/>
    </sheetView>
  </sheetViews>
  <sheetFormatPr baseColWidth="10" defaultColWidth="9.140625" defaultRowHeight="15" x14ac:dyDescent="0.25"/>
  <cols>
    <col min="1" max="1" width="9.140625" style="11" bestFit="1" customWidth="1"/>
    <col min="2" max="3" width="21.85546875" style="3" bestFit="1" customWidth="1"/>
    <col min="4" max="5" width="23.7109375" style="3" bestFit="1" customWidth="1"/>
    <col min="6" max="6" width="11.42578125" style="32" bestFit="1" customWidth="1"/>
    <col min="7" max="7" width="11.42578125" style="11" bestFit="1" customWidth="1"/>
    <col min="8" max="8" width="13" style="3" bestFit="1" customWidth="1"/>
    <col min="9" max="9" width="21.42578125" style="3" bestFit="1" customWidth="1"/>
    <col min="10" max="10" width="21.42578125" style="3" customWidth="1"/>
    <col min="11" max="11" width="21.42578125" style="3" bestFit="1" customWidth="1"/>
    <col min="12" max="14" width="12" style="3" bestFit="1" customWidth="1"/>
    <col min="15" max="15" width="12" style="3" customWidth="1"/>
    <col min="16" max="16" width="12" style="3" bestFit="1" customWidth="1"/>
    <col min="17" max="17" width="12" style="3" customWidth="1"/>
    <col min="18" max="18" width="16.140625" style="3" bestFit="1" customWidth="1"/>
    <col min="19" max="20" width="16.140625" style="3" customWidth="1"/>
    <col min="21" max="21" width="16.140625" style="3" bestFit="1" customWidth="1"/>
    <col min="22" max="22" width="16.140625" style="32" bestFit="1" customWidth="1"/>
    <col min="23" max="24" width="16.140625" style="3" bestFit="1" customWidth="1"/>
    <col min="25" max="94" width="10.42578125" style="3" bestFit="1" customWidth="1"/>
    <col min="95" max="95" width="10.42578125" style="3" customWidth="1"/>
    <col min="96" max="101" width="10.42578125" style="3" bestFit="1" customWidth="1"/>
    <col min="102" max="102" width="13.5703125" style="3" bestFit="1" customWidth="1"/>
    <col min="103" max="16384" width="9.140625" style="3"/>
  </cols>
  <sheetData>
    <row r="1" spans="1:103" ht="18.75" customHeight="1" x14ac:dyDescent="0.25">
      <c r="U1" s="14"/>
      <c r="V1" s="15"/>
      <c r="W1" s="14"/>
      <c r="X1" s="14"/>
      <c r="Y1" s="58" t="s">
        <v>644</v>
      </c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59"/>
      <c r="BF1" s="59"/>
      <c r="BG1" s="59"/>
      <c r="BH1" s="59"/>
      <c r="BI1" s="59"/>
      <c r="BJ1" s="59"/>
      <c r="BK1" s="59"/>
      <c r="BL1" s="59"/>
      <c r="BM1" s="59"/>
      <c r="BN1" s="59"/>
      <c r="BO1" s="59"/>
      <c r="BP1" s="59"/>
      <c r="BQ1" s="59"/>
      <c r="BR1" s="59"/>
      <c r="BS1" s="59"/>
      <c r="BT1" s="59"/>
      <c r="BU1" s="59"/>
      <c r="BV1" s="59"/>
      <c r="BW1" s="59"/>
      <c r="BX1" s="59"/>
      <c r="BY1" s="59"/>
      <c r="BZ1" s="59"/>
      <c r="CA1" s="59"/>
      <c r="CB1" s="59"/>
      <c r="CC1" s="59"/>
      <c r="CD1" s="59"/>
      <c r="CE1" s="59"/>
      <c r="CF1" s="59"/>
      <c r="CG1" s="60"/>
      <c r="CH1" s="14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7"/>
      <c r="CT1" s="14"/>
      <c r="CU1" s="16"/>
      <c r="CV1" s="39"/>
      <c r="CW1" s="39"/>
      <c r="CX1" s="40"/>
    </row>
    <row r="2" spans="1:103" ht="18.75" customHeight="1" x14ac:dyDescent="0.25">
      <c r="U2" s="14"/>
      <c r="V2" s="15"/>
      <c r="W2" s="14"/>
      <c r="X2" s="14"/>
      <c r="Y2" s="14" t="s">
        <v>645</v>
      </c>
      <c r="Z2" s="14" t="s">
        <v>645</v>
      </c>
      <c r="AA2" s="14" t="s">
        <v>645</v>
      </c>
      <c r="AB2" s="14" t="s">
        <v>645</v>
      </c>
      <c r="AC2" s="14" t="s">
        <v>645</v>
      </c>
      <c r="AD2" s="14" t="s">
        <v>645</v>
      </c>
      <c r="AE2" s="14" t="s">
        <v>645</v>
      </c>
      <c r="AF2" s="14" t="s">
        <v>645</v>
      </c>
      <c r="AG2" s="14" t="s">
        <v>645</v>
      </c>
      <c r="AH2" s="14" t="s">
        <v>645</v>
      </c>
      <c r="AI2" s="14" t="s">
        <v>645</v>
      </c>
      <c r="AJ2" s="14" t="s">
        <v>646</v>
      </c>
      <c r="AK2" s="14" t="s">
        <v>646</v>
      </c>
      <c r="AL2" s="14" t="s">
        <v>646</v>
      </c>
      <c r="AM2" s="14" t="s">
        <v>646</v>
      </c>
      <c r="AN2" s="14" t="s">
        <v>646</v>
      </c>
      <c r="AO2" s="14" t="s">
        <v>646</v>
      </c>
      <c r="AP2" s="14" t="s">
        <v>646</v>
      </c>
      <c r="AR2" s="2" t="s">
        <v>647</v>
      </c>
      <c r="AS2" s="14" t="s">
        <v>648</v>
      </c>
      <c r="AT2" s="14" t="s">
        <v>648</v>
      </c>
      <c r="AU2" s="14" t="s">
        <v>649</v>
      </c>
      <c r="AV2" s="14" t="s">
        <v>649</v>
      </c>
      <c r="AW2" s="14" t="s">
        <v>649</v>
      </c>
      <c r="AX2" s="14" t="s">
        <v>649</v>
      </c>
      <c r="AY2" s="14" t="s">
        <v>649</v>
      </c>
      <c r="AZ2" s="2" t="s">
        <v>650</v>
      </c>
      <c r="BA2" s="14" t="s">
        <v>651</v>
      </c>
      <c r="BB2" s="14" t="s">
        <v>651</v>
      </c>
      <c r="BC2" s="14" t="s">
        <v>651</v>
      </c>
      <c r="BD2" s="14" t="s">
        <v>652</v>
      </c>
      <c r="BE2" s="14" t="s">
        <v>652</v>
      </c>
      <c r="BF2" s="14" t="s">
        <v>652</v>
      </c>
      <c r="BG2" s="14" t="s">
        <v>652</v>
      </c>
      <c r="BH2" s="14" t="s">
        <v>652</v>
      </c>
      <c r="BI2" s="14" t="s">
        <v>652</v>
      </c>
      <c r="BJ2" s="14" t="s">
        <v>652</v>
      </c>
      <c r="BK2" s="14" t="s">
        <v>652</v>
      </c>
      <c r="BL2" s="14" t="s">
        <v>652</v>
      </c>
      <c r="BM2" s="14" t="s">
        <v>652</v>
      </c>
      <c r="BO2" s="14" t="s">
        <v>653</v>
      </c>
      <c r="BP2" s="14" t="s">
        <v>653</v>
      </c>
      <c r="BQ2" s="14" t="s">
        <v>654</v>
      </c>
      <c r="BR2" s="14" t="s">
        <v>654</v>
      </c>
      <c r="BS2" s="14" t="s">
        <v>654</v>
      </c>
      <c r="BT2" s="14" t="s">
        <v>654</v>
      </c>
      <c r="BU2" s="14" t="s">
        <v>654</v>
      </c>
      <c r="BV2" s="14" t="s">
        <v>655</v>
      </c>
      <c r="BW2" s="14" t="s">
        <v>655</v>
      </c>
      <c r="BX2" s="14" t="s">
        <v>656</v>
      </c>
      <c r="BY2" s="14" t="s">
        <v>656</v>
      </c>
      <c r="BZ2" s="14" t="s">
        <v>656</v>
      </c>
      <c r="CA2" s="14" t="s">
        <v>656</v>
      </c>
      <c r="CB2" s="14" t="s">
        <v>657</v>
      </c>
      <c r="CC2" s="14" t="s">
        <v>657</v>
      </c>
      <c r="CD2" s="14" t="s">
        <v>657</v>
      </c>
      <c r="CE2" s="14" t="s">
        <v>657</v>
      </c>
      <c r="CF2" s="14" t="s">
        <v>657</v>
      </c>
      <c r="CG2" s="14" t="s">
        <v>657</v>
      </c>
      <c r="CH2" s="58" t="s">
        <v>658</v>
      </c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60"/>
      <c r="CT2" s="58" t="s">
        <v>659</v>
      </c>
      <c r="CU2" s="59"/>
      <c r="CV2" s="61" t="s">
        <v>660</v>
      </c>
      <c r="CW2" s="61"/>
      <c r="CX2" s="61"/>
    </row>
    <row r="3" spans="1:103" ht="18.75" customHeight="1" x14ac:dyDescent="0.25">
      <c r="A3" s="8" t="s">
        <v>661</v>
      </c>
      <c r="B3" s="2" t="s">
        <v>0</v>
      </c>
      <c r="C3" s="2" t="s">
        <v>1</v>
      </c>
      <c r="D3" s="2" t="s">
        <v>2</v>
      </c>
      <c r="E3" s="2" t="s">
        <v>3</v>
      </c>
      <c r="F3" s="18" t="s">
        <v>662</v>
      </c>
      <c r="G3" s="8" t="s">
        <v>663</v>
      </c>
      <c r="H3" s="1" t="s">
        <v>46</v>
      </c>
      <c r="I3" s="1" t="s">
        <v>664</v>
      </c>
      <c r="J3" s="1" t="s">
        <v>2926</v>
      </c>
      <c r="K3" s="1" t="s">
        <v>665</v>
      </c>
      <c r="L3" s="1" t="s">
        <v>49</v>
      </c>
      <c r="M3" s="1" t="s">
        <v>50</v>
      </c>
      <c r="N3" s="1" t="s">
        <v>51</v>
      </c>
      <c r="O3" s="1" t="s">
        <v>52</v>
      </c>
      <c r="P3" s="1" t="s">
        <v>666</v>
      </c>
      <c r="Q3" s="1" t="s">
        <v>3018</v>
      </c>
      <c r="R3" s="1" t="s">
        <v>667</v>
      </c>
      <c r="S3" s="1" t="s">
        <v>2928</v>
      </c>
      <c r="T3" s="1" t="s">
        <v>2945</v>
      </c>
      <c r="U3" s="1" t="s">
        <v>668</v>
      </c>
      <c r="V3" s="19" t="s">
        <v>669</v>
      </c>
      <c r="W3" s="1" t="s">
        <v>670</v>
      </c>
      <c r="X3" s="1" t="s">
        <v>671</v>
      </c>
      <c r="Y3" s="20" t="s">
        <v>672</v>
      </c>
      <c r="Z3" s="20" t="s">
        <v>673</v>
      </c>
      <c r="AA3" s="20" t="s">
        <v>674</v>
      </c>
      <c r="AB3" s="20" t="s">
        <v>675</v>
      </c>
      <c r="AC3" s="20" t="s">
        <v>676</v>
      </c>
      <c r="AD3" s="20" t="s">
        <v>677</v>
      </c>
      <c r="AE3" s="20" t="s">
        <v>678</v>
      </c>
      <c r="AF3" s="20" t="s">
        <v>679</v>
      </c>
      <c r="AG3" s="20" t="s">
        <v>680</v>
      </c>
      <c r="AH3" s="20" t="s">
        <v>681</v>
      </c>
      <c r="AI3" s="20" t="s">
        <v>682</v>
      </c>
      <c r="AJ3" s="21" t="s">
        <v>683</v>
      </c>
      <c r="AK3" s="21" t="s">
        <v>684</v>
      </c>
      <c r="AL3" s="21" t="s">
        <v>685</v>
      </c>
      <c r="AM3" s="21" t="s">
        <v>686</v>
      </c>
      <c r="AN3" s="21" t="s">
        <v>687</v>
      </c>
      <c r="AO3" s="21" t="s">
        <v>688</v>
      </c>
      <c r="AP3" s="21" t="s">
        <v>689</v>
      </c>
      <c r="AQ3" s="1" t="s">
        <v>690</v>
      </c>
      <c r="AR3" s="22" t="s">
        <v>691</v>
      </c>
      <c r="AS3" s="23" t="s">
        <v>2964</v>
      </c>
      <c r="AT3" s="23" t="s">
        <v>2965</v>
      </c>
      <c r="AU3" s="1" t="s">
        <v>692</v>
      </c>
      <c r="AV3" s="1" t="s">
        <v>693</v>
      </c>
      <c r="AW3" s="1" t="s">
        <v>694</v>
      </c>
      <c r="AX3" s="24" t="s">
        <v>695</v>
      </c>
      <c r="AY3" s="24" t="s">
        <v>696</v>
      </c>
      <c r="AZ3" s="1" t="s">
        <v>697</v>
      </c>
      <c r="BA3" s="25" t="s">
        <v>698</v>
      </c>
      <c r="BB3" s="25" t="s">
        <v>699</v>
      </c>
      <c r="BC3" s="25" t="s">
        <v>700</v>
      </c>
      <c r="BD3" s="26" t="s">
        <v>701</v>
      </c>
      <c r="BE3" s="26" t="s">
        <v>702</v>
      </c>
      <c r="BF3" s="26" t="s">
        <v>703</v>
      </c>
      <c r="BG3" s="26" t="s">
        <v>704</v>
      </c>
      <c r="BH3" s="26" t="s">
        <v>705</v>
      </c>
      <c r="BI3" s="26" t="s">
        <v>706</v>
      </c>
      <c r="BJ3" s="26" t="s">
        <v>707</v>
      </c>
      <c r="BK3" s="26" t="s">
        <v>708</v>
      </c>
      <c r="BL3" s="26" t="s">
        <v>709</v>
      </c>
      <c r="BM3" s="26" t="s">
        <v>710</v>
      </c>
      <c r="BN3" s="1" t="s">
        <v>711</v>
      </c>
      <c r="BO3" s="2" t="s">
        <v>712</v>
      </c>
      <c r="BP3" s="2" t="s">
        <v>713</v>
      </c>
      <c r="BQ3" s="27" t="s">
        <v>714</v>
      </c>
      <c r="BR3" s="27" t="s">
        <v>715</v>
      </c>
      <c r="BS3" s="27" t="s">
        <v>716</v>
      </c>
      <c r="BT3" s="27" t="s">
        <v>717</v>
      </c>
      <c r="BU3" s="27" t="s">
        <v>718</v>
      </c>
      <c r="BV3" s="1" t="s">
        <v>719</v>
      </c>
      <c r="BW3" s="1" t="s">
        <v>720</v>
      </c>
      <c r="BX3" s="24" t="s">
        <v>721</v>
      </c>
      <c r="BY3" s="24" t="s">
        <v>722</v>
      </c>
      <c r="BZ3" s="24" t="s">
        <v>723</v>
      </c>
      <c r="CA3" s="24" t="s">
        <v>724</v>
      </c>
      <c r="CB3" s="22" t="s">
        <v>725</v>
      </c>
      <c r="CC3" s="22" t="s">
        <v>726</v>
      </c>
      <c r="CD3" s="22" t="s">
        <v>727</v>
      </c>
      <c r="CE3" s="22" t="s">
        <v>728</v>
      </c>
      <c r="CF3" s="22" t="s">
        <v>729</v>
      </c>
      <c r="CG3" s="22" t="s">
        <v>730</v>
      </c>
      <c r="CH3" s="26" t="s">
        <v>731</v>
      </c>
      <c r="CI3" s="26" t="s">
        <v>732</v>
      </c>
      <c r="CJ3" s="26" t="s">
        <v>733</v>
      </c>
      <c r="CK3" s="26" t="s">
        <v>734</v>
      </c>
      <c r="CL3" s="26" t="s">
        <v>735</v>
      </c>
      <c r="CM3" s="26" t="s">
        <v>736</v>
      </c>
      <c r="CN3" s="26" t="s">
        <v>737</v>
      </c>
      <c r="CO3" s="26" t="s">
        <v>738</v>
      </c>
      <c r="CP3" s="26" t="s">
        <v>546</v>
      </c>
      <c r="CQ3" s="26" t="s">
        <v>2931</v>
      </c>
      <c r="CR3" s="26" t="s">
        <v>739</v>
      </c>
      <c r="CS3" s="26" t="s">
        <v>2962</v>
      </c>
      <c r="CT3" s="28" t="s">
        <v>740</v>
      </c>
      <c r="CU3" s="28" t="s">
        <v>741</v>
      </c>
      <c r="CV3" s="41" t="s">
        <v>742</v>
      </c>
      <c r="CW3" s="41" t="s">
        <v>743</v>
      </c>
      <c r="CX3" s="41" t="s">
        <v>744</v>
      </c>
    </row>
    <row r="4" spans="1:103" ht="19.5" customHeight="1" x14ac:dyDescent="0.25">
      <c r="A4" s="8">
        <v>403</v>
      </c>
      <c r="B4" s="49"/>
      <c r="C4" s="49"/>
      <c r="D4" s="29" t="s">
        <v>2999</v>
      </c>
      <c r="E4" s="29" t="s">
        <v>3000</v>
      </c>
      <c r="F4" s="66">
        <v>28856</v>
      </c>
      <c r="G4" s="8">
        <f ca="1">DATEDIF(F4, TODAY(), "Y")</f>
        <v>47</v>
      </c>
      <c r="H4" s="2" t="s">
        <v>532</v>
      </c>
      <c r="I4" s="2" t="s">
        <v>2939</v>
      </c>
      <c r="J4" s="29"/>
      <c r="L4" s="1">
        <v>686982006</v>
      </c>
      <c r="M4" s="30" t="s">
        <v>2855</v>
      </c>
      <c r="N4" s="33" t="s">
        <v>2856</v>
      </c>
      <c r="O4" s="31"/>
      <c r="P4" s="2" t="s">
        <v>2857</v>
      </c>
      <c r="Q4" s="2" t="s">
        <v>3020</v>
      </c>
      <c r="R4" s="2" t="s">
        <v>772</v>
      </c>
      <c r="S4" s="2" t="s">
        <v>2940</v>
      </c>
      <c r="T4" s="2"/>
      <c r="U4" s="2" t="str" cm="1">
        <f t="array" ref="U4">_xlfn.TEXTJOIN(", ", TRUE, IF(Y4:CG4="X", $Y$3:$CG$3, ""))</f>
        <v>Behi haragia, Txerrikiak</v>
      </c>
      <c r="V4" s="18" t="str" cm="1">
        <f t="array" ref="V4">_xlfn.TEXTJOIN(", ", TRUE, IF(Y4:CG4="X", $Y$2:$CG$2, ""))</f>
        <v>HARAGIA, HARAGIA</v>
      </c>
      <c r="W4" s="2" t="str" cm="1">
        <f t="array" ref="W4">_xlfn.TEXTJOIN(", ", TRUE, IF(CH4:CS4="X", $CH$3:$CS$3, ""))</f>
        <v>Etxetik, Dendetan, Harategian, Online, Biziola, Bertatik Bertara, Goierriko nekazal koop (GNK)</v>
      </c>
      <c r="X4" s="2" t="str" cm="1">
        <f t="array" ref="X4">_xlfn.TEXTJOIN(", ", TRUE, IF(CT4:CX4="X", $CT$3:$CX$3, ""))</f>
        <v>Ekologikoa</v>
      </c>
      <c r="AJ4" s="65" t="s">
        <v>764</v>
      </c>
      <c r="AM4" s="65" t="s">
        <v>764</v>
      </c>
      <c r="CI4" s="65" t="s">
        <v>764</v>
      </c>
      <c r="CJ4" s="65" t="s">
        <v>764</v>
      </c>
      <c r="CL4" s="65" t="s">
        <v>764</v>
      </c>
      <c r="CO4" s="65" t="s">
        <v>764</v>
      </c>
      <c r="CP4" s="65" t="s">
        <v>764</v>
      </c>
      <c r="CQ4" s="65"/>
      <c r="CR4" s="65" t="s">
        <v>764</v>
      </c>
      <c r="CS4" s="65" t="s">
        <v>764</v>
      </c>
      <c r="CT4" s="65" t="s">
        <v>764</v>
      </c>
    </row>
    <row r="5" spans="1:103" ht="19.5" customHeight="1" x14ac:dyDescent="0.25">
      <c r="A5" s="8">
        <v>93</v>
      </c>
      <c r="B5" s="2" t="s">
        <v>1262</v>
      </c>
      <c r="C5" s="2" t="s">
        <v>1263</v>
      </c>
      <c r="D5" s="29" t="s">
        <v>1264</v>
      </c>
      <c r="E5" s="29" t="s">
        <v>1265</v>
      </c>
      <c r="F5" s="18">
        <v>28438</v>
      </c>
      <c r="G5" s="8">
        <f ca="1">DATEDIF(F5, TODAY(), "Y")</f>
        <v>48</v>
      </c>
      <c r="H5" s="2" t="s">
        <v>532</v>
      </c>
      <c r="I5" s="2" t="s">
        <v>2935</v>
      </c>
      <c r="J5" s="29" t="s">
        <v>2936</v>
      </c>
      <c r="L5" s="1">
        <v>619689884</v>
      </c>
      <c r="M5" s="30" t="s">
        <v>1266</v>
      </c>
      <c r="N5" s="33" t="s">
        <v>2963</v>
      </c>
      <c r="O5" s="33" t="s">
        <v>2937</v>
      </c>
      <c r="P5" s="2" t="s">
        <v>1267</v>
      </c>
      <c r="Q5" s="2" t="s">
        <v>3020</v>
      </c>
      <c r="R5" s="2" t="s">
        <v>772</v>
      </c>
      <c r="S5" s="2" t="s">
        <v>2938</v>
      </c>
      <c r="T5" s="2"/>
      <c r="U5" s="2" t="str" cm="1">
        <f t="array" ref="U5">_xlfn.TEXTJOIN(", ", TRUE, IF(Y5:CG5="X", $Y$3:$CG$3, ""))</f>
        <v>Behi haragia, Zaldi haragia, Barazkiak aire librean, Barazkiak negutegian, Barazki transformatuak, Fruta transformatuak, Mermelada, Babarrunak, Fruta, Sagarrak, Madaria, Kiwia, Aranak, Intxaurrak, Urrak, Franbuesa, Grosella, Ahabia, Marrubiak, Masustak, Sagardoa, Zukuak</v>
      </c>
      <c r="V5" s="18" t="str" cm="1">
        <f t="array" ref="V5">_xlfn.TEXTJOIN(", ", TRUE, IF(Y5:CG5="X", $Y$2:$CG$2, ""))</f>
        <v>HARAGIA, HARAGIA, BARAZKIAK, BARAZKIAK, ERATORRIAK, ERATORRIAK, ERATORRIAK, LEKALEAK, FRUTA, FRUTA, FRUTA, FRUTA, FRUTA, FRUITU LEHORRAK, FRUITU LEHORRAK, BASA FRUITUAK, BASA FRUITUAK, BASA FRUITUAK, BASA FRUITUAK, BASA FRUITUAK, EDARIAK, EDARIAK</v>
      </c>
      <c r="W5" s="2" t="str" cm="1">
        <f t="array" ref="W5">_xlfn.TEXTJOIN(", ", TRUE, IF(CH5:CS5="X", $CH$3:$CS$3, ""))</f>
        <v>Dendetan, Harategian, Kontsumo taldeak, Biziola, Bertatik Bertara, Goierriko nekazal koop (GNK)</v>
      </c>
      <c r="X5" s="2" t="str" cm="1">
        <f t="array" ref="X5">_xlfn.TEXTJOIN(", ", TRUE, IF(CT5:CX5="X", $CT$3:$CX$3, ""))</f>
        <v>Ekologikoa, Euskal Sagardoa</v>
      </c>
      <c r="AJ5" s="65" t="s">
        <v>764</v>
      </c>
      <c r="AL5" s="65" t="s">
        <v>764</v>
      </c>
      <c r="AS5" s="65" t="s">
        <v>764</v>
      </c>
      <c r="AT5" s="65" t="s">
        <v>764</v>
      </c>
      <c r="AU5" s="3" t="s">
        <v>764</v>
      </c>
      <c r="AV5" s="3" t="s">
        <v>764</v>
      </c>
      <c r="AX5" s="65" t="s">
        <v>764</v>
      </c>
      <c r="AZ5" s="65" t="s">
        <v>764</v>
      </c>
      <c r="BD5" s="65" t="s">
        <v>764</v>
      </c>
      <c r="BF5" s="65" t="s">
        <v>764</v>
      </c>
      <c r="BG5" s="65" t="s">
        <v>764</v>
      </c>
      <c r="BJ5" s="3" t="s">
        <v>764</v>
      </c>
      <c r="BK5" s="65" t="s">
        <v>764</v>
      </c>
      <c r="BO5" s="65" t="s">
        <v>764</v>
      </c>
      <c r="BP5" s="65" t="s">
        <v>764</v>
      </c>
      <c r="BQ5" s="65" t="s">
        <v>764</v>
      </c>
      <c r="BR5" s="65" t="s">
        <v>764</v>
      </c>
      <c r="BS5" s="65" t="s">
        <v>764</v>
      </c>
      <c r="BT5" s="65" t="s">
        <v>764</v>
      </c>
      <c r="BU5" s="65" t="s">
        <v>764</v>
      </c>
      <c r="CB5" s="65" t="s">
        <v>764</v>
      </c>
      <c r="CF5" s="65" t="s">
        <v>764</v>
      </c>
      <c r="CJ5" s="65" t="s">
        <v>764</v>
      </c>
      <c r="CL5" s="65" t="s">
        <v>764</v>
      </c>
      <c r="CM5" s="65" t="s">
        <v>764</v>
      </c>
      <c r="CP5" s="65" t="s">
        <v>764</v>
      </c>
      <c r="CQ5" s="65"/>
      <c r="CR5" s="65" t="s">
        <v>764</v>
      </c>
      <c r="CS5" s="65" t="s">
        <v>764</v>
      </c>
      <c r="CT5" s="65" t="s">
        <v>764</v>
      </c>
      <c r="CV5" s="65" t="s">
        <v>764</v>
      </c>
    </row>
    <row r="6" spans="1:103" ht="19.5" customHeight="1" x14ac:dyDescent="0.25">
      <c r="A6" s="8">
        <v>261</v>
      </c>
      <c r="B6" s="2" t="s">
        <v>2220</v>
      </c>
      <c r="C6" s="2" t="s">
        <v>2221</v>
      </c>
      <c r="D6" s="29" t="s">
        <v>2222</v>
      </c>
      <c r="E6" s="29" t="s">
        <v>2223</v>
      </c>
      <c r="F6" s="18"/>
      <c r="G6" s="8">
        <f ca="1">DATEDIF(F6, TODAY(), "Y")</f>
        <v>126</v>
      </c>
      <c r="H6" s="2" t="s">
        <v>585</v>
      </c>
      <c r="I6" s="2" t="s">
        <v>2224</v>
      </c>
      <c r="J6" s="29"/>
      <c r="K6" s="3" t="s">
        <v>2224</v>
      </c>
      <c r="L6" s="1">
        <v>630702587</v>
      </c>
      <c r="M6" s="30" t="s">
        <v>326</v>
      </c>
      <c r="N6" s="55" t="s">
        <v>3109</v>
      </c>
      <c r="O6" s="31"/>
      <c r="P6" s="2" t="s">
        <v>2225</v>
      </c>
      <c r="Q6" s="2" t="s">
        <v>3019</v>
      </c>
      <c r="R6" s="2" t="s">
        <v>1216</v>
      </c>
      <c r="S6" s="2"/>
      <c r="T6" s="2"/>
      <c r="U6" s="2" t="str" cm="1">
        <f t="array" ref="U6">_xlfn.TEXTJOIN(", ", TRUE, IF(Y6:CG6="X", $Y$3:$CG$3, ""))</f>
        <v>Eztia, Polena, Propoleoa</v>
      </c>
      <c r="V6" s="18" t="str" cm="1">
        <f t="array" ref="V6">_xlfn.TEXTJOIN(", ", TRUE, IF(Y6:CG6="X", $Y$2:$CG$2, ""))</f>
        <v>ERLEAK, ERLEAK, ERLEAK</v>
      </c>
      <c r="W6" s="2" t="str" cm="1">
        <f t="array" ref="W6">_xlfn.TEXTJOIN(", ", TRUE, IF(CH6:CS6="X", $CH$3:$CS$3, ""))</f>
        <v>Etxetik, Dendetan, Harategian, Bertatik Bertara</v>
      </c>
      <c r="X6" s="2" t="str" cm="1">
        <f t="array" ref="X6">_xlfn.TEXTJOIN(", ", TRUE, IF(CT6:CX6="X", $CT$3:$CX$3, ""))</f>
        <v>Ekologikoa</v>
      </c>
      <c r="AK6" s="49"/>
      <c r="AP6" s="49"/>
      <c r="BA6" s="65" t="s">
        <v>764</v>
      </c>
      <c r="BB6" s="65" t="s">
        <v>764</v>
      </c>
      <c r="BC6" s="65" t="s">
        <v>764</v>
      </c>
      <c r="BD6" s="49"/>
      <c r="CI6" s="2" t="s">
        <v>764</v>
      </c>
      <c r="CJ6" s="65" t="s">
        <v>764</v>
      </c>
      <c r="CL6" s="65" t="s">
        <v>764</v>
      </c>
      <c r="CR6" s="65" t="s">
        <v>764</v>
      </c>
      <c r="CT6" s="2" t="s">
        <v>764</v>
      </c>
    </row>
    <row r="7" spans="1:103" ht="19.5" customHeight="1" x14ac:dyDescent="0.25">
      <c r="A7" s="8">
        <v>129</v>
      </c>
      <c r="B7" s="2" t="s">
        <v>1472</v>
      </c>
      <c r="C7" s="2" t="s">
        <v>1473</v>
      </c>
      <c r="D7" s="29" t="s">
        <v>1474</v>
      </c>
      <c r="E7" s="29" t="s">
        <v>1475</v>
      </c>
      <c r="F7" s="18">
        <v>29975</v>
      </c>
      <c r="G7" s="8">
        <f ca="1">DATEDIF(F7, TODAY(), "Y")</f>
        <v>44</v>
      </c>
      <c r="H7" s="2" t="s">
        <v>1452</v>
      </c>
      <c r="I7" s="2" t="s">
        <v>1476</v>
      </c>
      <c r="J7" s="29"/>
      <c r="L7" s="1">
        <v>618721473</v>
      </c>
      <c r="M7" s="30" t="s">
        <v>1477</v>
      </c>
      <c r="N7" s="55" t="s">
        <v>3069</v>
      </c>
      <c r="O7" s="55" t="s">
        <v>3070</v>
      </c>
      <c r="P7" s="2" t="s">
        <v>1478</v>
      </c>
      <c r="Q7" s="2" t="s">
        <v>3020</v>
      </c>
      <c r="R7" s="2" t="s">
        <v>772</v>
      </c>
      <c r="S7" s="2"/>
      <c r="T7" s="2"/>
      <c r="U7" s="2" t="str" cm="1">
        <f t="array" ref="U7">_xlfn.TEXTJOIN(", ", TRUE, IF(Y7:CG7="X", $Y$3:$CG$3, ""))</f>
        <v>Ardi gazta</v>
      </c>
      <c r="V7" s="18" t="str" cm="1">
        <f t="array" ref="V7">_xlfn.TEXTJOIN(", ", TRUE, IF(Y7:CG7="X", $Y$2:$CG$2, ""))</f>
        <v>ESNEKIAK</v>
      </c>
      <c r="W7" s="2" t="str" cm="1">
        <f t="array" ref="W7">_xlfn.TEXTJOIN(", ", TRUE, IF(CH7:CS7="X", $CH$3:$CS$3, ""))</f>
        <v/>
      </c>
      <c r="X7" s="2" t="str" cm="1">
        <f t="array" ref="X7">_xlfn.TEXTJOIN(", ", TRUE, IF(CT7:CX7="X", $CT$3:$CX$3, ""))</f>
        <v>DO Idiazabal, Artzai Gazta</v>
      </c>
      <c r="AC7" s="65" t="s">
        <v>764</v>
      </c>
      <c r="CH7" s="49"/>
      <c r="CI7" s="49"/>
      <c r="CL7" s="82"/>
      <c r="CP7" s="49"/>
      <c r="CQ7" s="38"/>
      <c r="CS7" s="82"/>
      <c r="CW7" s="65" t="s">
        <v>764</v>
      </c>
      <c r="CX7" s="65" t="s">
        <v>764</v>
      </c>
    </row>
    <row r="8" spans="1:103" ht="19.5" customHeight="1" x14ac:dyDescent="0.25">
      <c r="A8" s="8">
        <v>235</v>
      </c>
      <c r="B8" s="2" t="s">
        <v>2073</v>
      </c>
      <c r="C8" s="2" t="s">
        <v>2074</v>
      </c>
      <c r="D8" s="29" t="s">
        <v>2075</v>
      </c>
      <c r="E8" s="29" t="s">
        <v>2076</v>
      </c>
      <c r="F8" s="18">
        <v>27341</v>
      </c>
      <c r="G8" s="8">
        <f ca="1">DATEDIF(F8, TODAY(), "Y")</f>
        <v>51</v>
      </c>
      <c r="H8" s="2" t="s">
        <v>566</v>
      </c>
      <c r="I8" s="2" t="s">
        <v>2077</v>
      </c>
      <c r="J8" s="29"/>
      <c r="K8" s="3" t="s">
        <v>3083</v>
      </c>
      <c r="L8" s="1">
        <v>648055688</v>
      </c>
      <c r="M8" s="30" t="s">
        <v>3084</v>
      </c>
      <c r="N8" s="33" t="s">
        <v>2921</v>
      </c>
      <c r="O8" s="33"/>
      <c r="P8" s="49" t="s">
        <v>3085</v>
      </c>
      <c r="Q8" s="49"/>
      <c r="R8" s="18"/>
      <c r="S8" s="18"/>
      <c r="T8" s="18"/>
      <c r="U8" s="2" t="str" cm="1">
        <f t="array" ref="U8">_xlfn.TEXTJOIN(", ", TRUE, IF(Y8:CG8="X", $Y$3:$CG$3, ""))</f>
        <v>Piperminak</v>
      </c>
      <c r="V8" s="18" t="str" cm="1">
        <f t="array" ref="V8">_xlfn.TEXTJOIN(", ", TRUE, IF(Y8:CG8="X", $Y$2:$CG$2, ""))</f>
        <v>ERATORRIAK</v>
      </c>
      <c r="W8" s="2" t="str" cm="1">
        <f t="array" ref="W8">_xlfn.TEXTJOIN(", ", TRUE, IF(CH8:CS8="X", $CH$3:$CS$3, ""))</f>
        <v/>
      </c>
      <c r="X8" s="2" t="str" cm="1">
        <f t="array" ref="X8">_xlfn.TEXTJOIN(", ", TRUE, IF(CT8:CX8="X", $CT$3:$CX$3, ""))</f>
        <v/>
      </c>
      <c r="AW8" s="65" t="s">
        <v>764</v>
      </c>
    </row>
    <row r="9" spans="1:103" ht="19.5" customHeight="1" x14ac:dyDescent="0.25">
      <c r="A9" s="8">
        <v>140</v>
      </c>
      <c r="B9" s="2" t="s">
        <v>1532</v>
      </c>
      <c r="C9" s="2" t="s">
        <v>1533</v>
      </c>
      <c r="D9" s="29" t="s">
        <v>1534</v>
      </c>
      <c r="E9" s="29" t="s">
        <v>1535</v>
      </c>
      <c r="F9" s="18">
        <v>23334</v>
      </c>
      <c r="G9" s="8">
        <f ca="1">DATEDIF(F9, TODAY(), "Y")</f>
        <v>62</v>
      </c>
      <c r="H9" s="2" t="s">
        <v>1452</v>
      </c>
      <c r="I9" s="2" t="s">
        <v>1536</v>
      </c>
      <c r="J9" s="29"/>
      <c r="K9" s="3" t="s">
        <v>3061</v>
      </c>
      <c r="L9" s="1">
        <v>628151125</v>
      </c>
      <c r="M9" s="30" t="s">
        <v>1537</v>
      </c>
      <c r="N9" s="33" t="s">
        <v>3062</v>
      </c>
      <c r="O9" s="31"/>
      <c r="P9" s="2" t="s">
        <v>1538</v>
      </c>
      <c r="Q9" s="29"/>
      <c r="R9" s="65" t="s">
        <v>772</v>
      </c>
      <c r="S9" s="65"/>
      <c r="T9" s="65"/>
      <c r="U9" s="2" t="str" cm="1">
        <f t="array" ref="U9">_xlfn.TEXTJOIN(", ", TRUE, IF(Y9:CG9="X", $Y$3:$CG$3, ""))</f>
        <v>Ardi gazta</v>
      </c>
      <c r="V9" s="18" t="str" cm="1">
        <f t="array" ref="V9">_xlfn.TEXTJOIN(", ", TRUE, IF(Y9:CG9="X", $Y$2:$CG$2, ""))</f>
        <v>ESNEKIAK</v>
      </c>
      <c r="W9" s="2" t="str" cm="1">
        <f t="array" ref="W9">_xlfn.TEXTJOIN(", ", TRUE, IF(CH9:CS9="X", $CH$3:$CS$3, ""))</f>
        <v/>
      </c>
      <c r="X9" s="2" t="str" cm="1">
        <f t="array" ref="X9">_xlfn.TEXTJOIN(", ", TRUE, IF(CT9:CX9="X", $CT$3:$CX$3, ""))</f>
        <v>DO Idiazabal, Artzai Gazta</v>
      </c>
      <c r="AC9" s="3" t="s">
        <v>764</v>
      </c>
      <c r="AR9" s="49"/>
      <c r="AS9" s="49"/>
      <c r="CW9" s="65" t="s">
        <v>764</v>
      </c>
      <c r="CX9" s="65" t="s">
        <v>764</v>
      </c>
    </row>
    <row r="10" spans="1:103" ht="19.5" customHeight="1" x14ac:dyDescent="0.25">
      <c r="A10" s="8">
        <v>422</v>
      </c>
      <c r="B10" s="49"/>
      <c r="C10" s="49"/>
      <c r="D10" s="29" t="s">
        <v>3005</v>
      </c>
      <c r="E10" s="29" t="s">
        <v>3006</v>
      </c>
      <c r="F10" s="66">
        <v>35796</v>
      </c>
      <c r="G10" s="8">
        <f ca="1">DATEDIF(F10, TODAY(), "Y")</f>
        <v>28</v>
      </c>
      <c r="H10" s="2" t="s">
        <v>2308</v>
      </c>
      <c r="I10" s="2"/>
      <c r="J10" s="29"/>
      <c r="K10" s="3" t="s">
        <v>2894</v>
      </c>
      <c r="L10" s="1">
        <v>682537416</v>
      </c>
      <c r="M10" s="30" t="s">
        <v>2990</v>
      </c>
      <c r="N10" s="31" t="s">
        <v>2989</v>
      </c>
      <c r="O10" s="31"/>
      <c r="P10" s="2" t="s">
        <v>2895</v>
      </c>
      <c r="Q10" s="2" t="s">
        <v>3020</v>
      </c>
      <c r="R10" s="49"/>
      <c r="S10" s="49"/>
      <c r="T10" s="49"/>
      <c r="U10" s="2" t="str" cm="1">
        <f t="array" ref="U10">_xlfn.TEXTJOIN(", ", TRUE, IF(Y10:CG10="X", $Y$3:$CG$3, ""))</f>
        <v>Eztia, Propoleoa</v>
      </c>
      <c r="V10" s="18" t="str" cm="1">
        <f t="array" ref="V10">_xlfn.TEXTJOIN(", ", TRUE, IF(Y10:CG10="X", $Y$2:$CG$2, ""))</f>
        <v>ERLEAK, ERLEAK</v>
      </c>
      <c r="W10" s="2" t="str" cm="1">
        <f t="array" ref="W10">_xlfn.TEXTJOIN(", ", TRUE, IF(CH10:CS10="X", $CH$3:$CS$3, ""))</f>
        <v/>
      </c>
      <c r="X10" s="2" t="str" cm="1">
        <f t="array" ref="X10">_xlfn.TEXTJOIN(", ", TRUE, IF(CT10:CX10="X", $CT$3:$CX$3, ""))</f>
        <v>Ekologikoa</v>
      </c>
      <c r="AS10" s="49"/>
      <c r="BA10" s="65" t="s">
        <v>764</v>
      </c>
      <c r="BC10" s="65" t="s">
        <v>764</v>
      </c>
      <c r="BO10" s="49"/>
      <c r="CH10" s="49"/>
      <c r="CO10" s="49"/>
      <c r="CP10" s="49"/>
      <c r="CQ10" s="38"/>
      <c r="CT10" s="65" t="s">
        <v>764</v>
      </c>
    </row>
    <row r="11" spans="1:103" ht="19.5" customHeight="1" x14ac:dyDescent="0.25">
      <c r="A11" s="8">
        <v>230</v>
      </c>
      <c r="B11" s="2" t="s">
        <v>2038</v>
      </c>
      <c r="C11" s="2" t="s">
        <v>2039</v>
      </c>
      <c r="D11" s="29" t="s">
        <v>2040</v>
      </c>
      <c r="E11" s="29" t="s">
        <v>2041</v>
      </c>
      <c r="F11" s="18"/>
      <c r="G11" s="8">
        <f ca="1">DATEDIF(F11, TODAY(), "Y")</f>
        <v>126</v>
      </c>
      <c r="H11" s="2" t="s">
        <v>566</v>
      </c>
      <c r="I11" s="2" t="s">
        <v>2042</v>
      </c>
      <c r="J11" s="29"/>
      <c r="L11" s="1" t="s">
        <v>2043</v>
      </c>
      <c r="M11" s="30" t="s">
        <v>2044</v>
      </c>
      <c r="N11" s="55" t="s">
        <v>3089</v>
      </c>
      <c r="O11" s="77"/>
      <c r="P11" s="2" t="s">
        <v>2045</v>
      </c>
      <c r="Q11" s="29" t="s">
        <v>3021</v>
      </c>
      <c r="R11" s="65" t="s">
        <v>1216</v>
      </c>
      <c r="S11" s="65"/>
      <c r="T11" s="65"/>
      <c r="U11" s="2" t="str" cm="1">
        <f t="array" ref="U11">_xlfn.TEXTJOIN(", ", TRUE, IF(Y11:CG11="X", $Y$3:$CG$3, ""))</f>
        <v>Behi esnea, Behi haragia, Barazkiak aire librean</v>
      </c>
      <c r="V11" s="18" t="str" cm="1">
        <f t="array" ref="V11">_xlfn.TEXTJOIN(", ", TRUE, IF(Y11:CG11="X", $Y$2:$CG$2, ""))</f>
        <v>ESNEKIAK, HARAGIA, BARAZKIAK</v>
      </c>
      <c r="W11" s="2" t="str" cm="1">
        <f t="array" ref="W11">_xlfn.TEXTJOIN(", ", TRUE, IF(CH11:CS11="X", $CH$3:$CS$3, ""))</f>
        <v/>
      </c>
      <c r="X11" s="2" t="str" cm="1">
        <f t="array" ref="X11">_xlfn.TEXTJOIN(", ", TRUE, IF(CT11:CX11="X", $CT$3:$CX$3, ""))</f>
        <v>Ekologikoa</v>
      </c>
      <c r="Y11" s="65" t="s">
        <v>764</v>
      </c>
      <c r="AC11" s="65"/>
      <c r="AJ11" s="65" t="s">
        <v>764</v>
      </c>
      <c r="AS11" s="65" t="s">
        <v>764</v>
      </c>
      <c r="AU11" s="82"/>
      <c r="AV11" s="82"/>
      <c r="CT11" s="65" t="s">
        <v>764</v>
      </c>
    </row>
    <row r="12" spans="1:103" ht="19.5" customHeight="1" x14ac:dyDescent="0.25">
      <c r="A12" s="64"/>
      <c r="B12" s="49"/>
      <c r="C12" s="49"/>
      <c r="D12" s="51" t="s">
        <v>2951</v>
      </c>
      <c r="E12" s="51" t="s">
        <v>2952</v>
      </c>
      <c r="F12" s="68"/>
      <c r="G12" s="64"/>
      <c r="H12" s="54" t="s">
        <v>2308</v>
      </c>
      <c r="I12" s="54" t="s">
        <v>2953</v>
      </c>
      <c r="J12" s="51" t="s">
        <v>2954</v>
      </c>
      <c r="K12" s="47"/>
      <c r="L12" s="54">
        <v>943161244</v>
      </c>
      <c r="M12" s="53" t="s">
        <v>2955</v>
      </c>
      <c r="N12" s="53" t="s">
        <v>2980</v>
      </c>
      <c r="O12" s="83" t="s">
        <v>2957</v>
      </c>
      <c r="P12" s="84"/>
      <c r="Q12" s="84"/>
      <c r="R12" s="54" t="s">
        <v>772</v>
      </c>
      <c r="S12" s="54" t="s">
        <v>2956</v>
      </c>
      <c r="T12" s="54"/>
      <c r="U12" s="80" t="str" cm="1">
        <f t="array" ref="U12">_xlfn.TEXTJOIN(", ", TRUE, IF(Y12:CG12="X", $Y$3:$CG$3, ""))</f>
        <v>Ardi esnea, Mamia, Oilaskoak, Arrautzak, Barazki transformatuak, Membriloa, Eztia, Fruta, Intxaurrak, Marrubiak, Landareak, Ogia, Sagardoa</v>
      </c>
      <c r="V12" s="81" t="str" cm="1">
        <f t="array" ref="V12">_xlfn.TEXTJOIN(", ", TRUE, IF(Y12:CG12="X", $Y$2:$CG$2, ""))</f>
        <v>ESNEKIAK, ESNEKIAK, HARAGIA, OILOAK, ERATORRIAK, ERATORRIAK, ERLEAK, FRUTA, FRUITU LEHORRAK, BASA FRUITUAK, LANDAREAK, OGIGINTZA, EDARIAK</v>
      </c>
      <c r="W12" s="80" t="str" cm="1">
        <f t="array" ref="W12">_xlfn.TEXTJOIN(", ", TRUE, IF(CH12:CS12="X", $CH$3:$CS$3, ""))</f>
        <v>Azokak, Etxetik, Dendetan, Online</v>
      </c>
      <c r="X12" s="80" t="str" cm="1">
        <f t="array" ref="X12">_xlfn.TEXTJOIN(", ", TRUE, IF(CT12:CX12="X", $CT$3:$CX$3, ""))</f>
        <v>Ekologikoa, DO Idiazabal</v>
      </c>
      <c r="Y12" s="47"/>
      <c r="Z12" s="47" t="s">
        <v>764</v>
      </c>
      <c r="AA12" s="47"/>
      <c r="AB12" s="47"/>
      <c r="AC12" s="47"/>
      <c r="AD12" s="47"/>
      <c r="AE12" s="47"/>
      <c r="AF12" s="47"/>
      <c r="AG12" s="47"/>
      <c r="AH12" s="47"/>
      <c r="AI12" s="47" t="s">
        <v>764</v>
      </c>
      <c r="AJ12" s="47"/>
      <c r="AK12" s="47"/>
      <c r="AL12" s="47"/>
      <c r="AM12" s="47"/>
      <c r="AN12" s="47" t="s">
        <v>764</v>
      </c>
      <c r="AO12" s="47"/>
      <c r="AP12" s="47"/>
      <c r="AQ12" s="47"/>
      <c r="AR12" s="47" t="s">
        <v>764</v>
      </c>
      <c r="AS12" s="47"/>
      <c r="AT12" s="47"/>
      <c r="AU12" s="47" t="s">
        <v>764</v>
      </c>
      <c r="AV12" s="47"/>
      <c r="AW12" s="47"/>
      <c r="AX12" s="47"/>
      <c r="AY12" s="47" t="s">
        <v>764</v>
      </c>
      <c r="AZ12" s="47"/>
      <c r="BA12" s="47" t="s">
        <v>764</v>
      </c>
      <c r="BB12" s="47"/>
      <c r="BC12" s="47"/>
      <c r="BD12" s="47" t="s">
        <v>764</v>
      </c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 t="s">
        <v>764</v>
      </c>
      <c r="BP12" s="47"/>
      <c r="BQ12" s="47"/>
      <c r="BR12" s="47"/>
      <c r="BS12" s="47"/>
      <c r="BT12" s="47" t="s">
        <v>764</v>
      </c>
      <c r="BU12" s="47"/>
      <c r="BV12" s="47"/>
      <c r="BW12" s="47" t="s">
        <v>764</v>
      </c>
      <c r="BX12" s="47" t="s">
        <v>764</v>
      </c>
      <c r="BY12" s="47"/>
      <c r="BZ12" s="47"/>
      <c r="CA12" s="47"/>
      <c r="CB12" s="47" t="s">
        <v>764</v>
      </c>
      <c r="CC12" s="47"/>
      <c r="CD12" s="47"/>
      <c r="CE12" s="47"/>
      <c r="CF12" s="47"/>
      <c r="CG12" s="47"/>
      <c r="CH12" s="47" t="s">
        <v>764</v>
      </c>
      <c r="CI12" s="47" t="s">
        <v>764</v>
      </c>
      <c r="CJ12" s="47" t="s">
        <v>764</v>
      </c>
      <c r="CK12" s="47"/>
      <c r="CL12" s="54"/>
      <c r="CM12" s="47"/>
      <c r="CN12" s="47"/>
      <c r="CO12" s="47" t="s">
        <v>764</v>
      </c>
      <c r="CP12" s="47"/>
      <c r="CQ12" s="47"/>
      <c r="CR12" s="47"/>
      <c r="CS12" s="47"/>
      <c r="CT12" s="47" t="s">
        <v>764</v>
      </c>
      <c r="CU12" s="47"/>
      <c r="CV12" s="47"/>
      <c r="CW12" s="47" t="s">
        <v>764</v>
      </c>
      <c r="CX12" s="47"/>
      <c r="CY12" s="47"/>
    </row>
    <row r="13" spans="1:103" ht="19.5" customHeight="1" x14ac:dyDescent="0.25">
      <c r="A13" s="8">
        <v>231</v>
      </c>
      <c r="B13" s="2" t="s">
        <v>2046</v>
      </c>
      <c r="C13" s="2" t="s">
        <v>2047</v>
      </c>
      <c r="D13" s="29" t="s">
        <v>2048</v>
      </c>
      <c r="E13" s="29" t="s">
        <v>2049</v>
      </c>
      <c r="F13" s="18"/>
      <c r="G13" s="8">
        <f ca="1">DATEDIF(F13, TODAY(), "Y")</f>
        <v>126</v>
      </c>
      <c r="H13" s="2" t="s">
        <v>566</v>
      </c>
      <c r="I13" s="2" t="s">
        <v>2050</v>
      </c>
      <c r="J13" s="29"/>
      <c r="L13" s="1" t="s">
        <v>2051</v>
      </c>
      <c r="M13" s="30" t="s">
        <v>2052</v>
      </c>
      <c r="N13" s="55" t="s">
        <v>3086</v>
      </c>
      <c r="O13" s="31"/>
      <c r="P13" s="2" t="s">
        <v>2053</v>
      </c>
      <c r="Q13" s="29" t="s">
        <v>3021</v>
      </c>
      <c r="R13" s="65" t="s">
        <v>772</v>
      </c>
      <c r="S13" s="65"/>
      <c r="T13" s="65"/>
      <c r="U13" s="2" t="str" cm="1">
        <f t="array" ref="U13">_xlfn.TEXTJOIN(", ", TRUE, IF(Y13:CG13="X", $Y$3:$CG$3, ""))</f>
        <v>Txakolina, Ardoa</v>
      </c>
      <c r="V13" s="18" t="str" cm="1">
        <f t="array" ref="V13">_xlfn.TEXTJOIN(", ", TRUE, IF(Y13:CG13="X", $Y$2:$CG$2, ""))</f>
        <v>EDARIAK, EDARIAK</v>
      </c>
      <c r="W13" s="2" t="str" cm="1">
        <f t="array" ref="W13">_xlfn.TEXTJOIN(", ", TRUE, IF(CH13:CS13="X", $CH$3:$CS$3, ""))</f>
        <v/>
      </c>
      <c r="X13" s="2" t="str" cm="1">
        <f t="array" ref="X13">_xlfn.TEXTJOIN(", ", TRUE, IF(CT13:CX13="X", $CT$3:$CX$3, ""))</f>
        <v>Ekologikoa</v>
      </c>
      <c r="CC13" s="65" t="s">
        <v>764</v>
      </c>
      <c r="CE13" s="65" t="s">
        <v>764</v>
      </c>
      <c r="CT13" s="65" t="s">
        <v>764</v>
      </c>
    </row>
    <row r="14" spans="1:103" ht="19.5" customHeight="1" x14ac:dyDescent="0.25">
      <c r="A14" s="8">
        <v>323</v>
      </c>
      <c r="B14" s="2" t="s">
        <v>2566</v>
      </c>
      <c r="C14" s="2" t="s">
        <v>2567</v>
      </c>
      <c r="D14" s="29" t="s">
        <v>2568</v>
      </c>
      <c r="E14" s="29" t="s">
        <v>2569</v>
      </c>
      <c r="F14" s="18"/>
      <c r="G14" s="8">
        <f ca="1">DATEDIF(F14, TODAY(), "Y")</f>
        <v>126</v>
      </c>
      <c r="H14" s="2" t="s">
        <v>605</v>
      </c>
      <c r="I14" s="2" t="s">
        <v>2570</v>
      </c>
      <c r="J14" s="29"/>
      <c r="L14" s="1" t="s">
        <v>2571</v>
      </c>
      <c r="M14" s="30"/>
      <c r="N14" s="33" t="s">
        <v>396</v>
      </c>
      <c r="O14" s="31"/>
      <c r="P14" s="2" t="s">
        <v>2572</v>
      </c>
      <c r="Q14" s="2" t="s">
        <v>3021</v>
      </c>
      <c r="R14" s="2" t="s">
        <v>2573</v>
      </c>
      <c r="S14" s="2"/>
      <c r="T14" s="2"/>
      <c r="U14" s="2" t="str" cm="1">
        <f t="array" ref="U14">_xlfn.TEXTJOIN(", ", TRUE, IF(Y14:CG14="X", $Y$3:$CG$3, ""))</f>
        <v>Fruta, Sagarrak, Sagardoa, Zukuak</v>
      </c>
      <c r="V14" s="18" t="str" cm="1">
        <f t="array" ref="V14">_xlfn.TEXTJOIN(", ", TRUE, IF(Y14:CG14="X", $Y$2:$CG$2, ""))</f>
        <v>FRUTA, FRUTA, EDARIAK, EDARIAK</v>
      </c>
      <c r="W14" s="2" t="str" cm="1">
        <f t="array" ref="W14">_xlfn.TEXTJOIN(", ", TRUE, IF(CH14:CS14="X", $CH$3:$CS$3, ""))</f>
        <v>Etxetik, Dendetan, Online, Biziola</v>
      </c>
      <c r="X14" s="2" t="str" cm="1">
        <f t="array" ref="X14">_xlfn.TEXTJOIN(", ", TRUE, IF(CT14:CX14="X", $CT$3:$CX$3, ""))</f>
        <v>Ekologikoa, Euskal Sagardoa</v>
      </c>
      <c r="BD14" s="65" t="s">
        <v>764</v>
      </c>
      <c r="BF14" s="65" t="s">
        <v>764</v>
      </c>
      <c r="CB14" s="65" t="s">
        <v>764</v>
      </c>
      <c r="CF14" s="65" t="s">
        <v>764</v>
      </c>
      <c r="CI14" s="65" t="s">
        <v>764</v>
      </c>
      <c r="CJ14" s="65" t="s">
        <v>764</v>
      </c>
      <c r="CO14" s="65" t="s">
        <v>764</v>
      </c>
      <c r="CP14" s="65" t="s">
        <v>764</v>
      </c>
      <c r="CQ14" s="65"/>
      <c r="CT14" s="65" t="s">
        <v>764</v>
      </c>
      <c r="CV14" s="65" t="s">
        <v>764</v>
      </c>
    </row>
    <row r="15" spans="1:103" ht="19.5" customHeight="1" x14ac:dyDescent="0.25">
      <c r="A15" s="8">
        <v>102</v>
      </c>
      <c r="B15" s="2" t="s">
        <v>1313</v>
      </c>
      <c r="C15" s="2" t="s">
        <v>1314</v>
      </c>
      <c r="D15" s="29" t="s">
        <v>1315</v>
      </c>
      <c r="E15" s="29" t="s">
        <v>1316</v>
      </c>
      <c r="F15" s="18"/>
      <c r="G15" s="8">
        <f ca="1">DATEDIF(F15, TODAY(), "Y")</f>
        <v>126</v>
      </c>
      <c r="H15" s="2" t="s">
        <v>537</v>
      </c>
      <c r="I15" s="2" t="s">
        <v>1317</v>
      </c>
      <c r="J15" s="29" t="s">
        <v>2947</v>
      </c>
      <c r="L15" s="1" t="s">
        <v>2948</v>
      </c>
      <c r="M15" s="30" t="s">
        <v>1318</v>
      </c>
      <c r="N15" s="33" t="s">
        <v>1319</v>
      </c>
      <c r="O15" s="33" t="s">
        <v>2949</v>
      </c>
      <c r="P15" s="2" t="s">
        <v>2946</v>
      </c>
      <c r="Q15" s="2" t="s">
        <v>3021</v>
      </c>
      <c r="R15" s="2" t="s">
        <v>772</v>
      </c>
      <c r="S15" s="2" t="s">
        <v>2950</v>
      </c>
      <c r="T15" s="2"/>
      <c r="U15" s="2" t="str" cm="1">
        <f t="array" ref="U15">_xlfn.TEXTJOIN(", ", TRUE, IF(Y15:CG15="X", $Y$3:$CG$3, ""))</f>
        <v>Ardi gazta, Ardi haragia</v>
      </c>
      <c r="V15" s="18" t="str" cm="1">
        <f t="array" ref="V15">_xlfn.TEXTJOIN(", ", TRUE, IF(Y15:CG15="X", $Y$2:$CG$2, ""))</f>
        <v>ESNEKIAK, HARAGIA</v>
      </c>
      <c r="W15" s="2" t="str" cm="1">
        <f t="array" ref="W15">_xlfn.TEXTJOIN(", ", TRUE, IF(CH15:CS15="X", $CH$3:$CS$3, ""))</f>
        <v>Azokak, Etxetik, Dendetan, Jatetxeetara, Harategian, Online, Bertatik Bertara</v>
      </c>
      <c r="X15" s="2" t="str" cm="1">
        <f t="array" ref="X15">_xlfn.TEXTJOIN(", ", TRUE, IF(CT15:CX15="X", $CT$3:$CX$3, ""))</f>
        <v>DO Idiazabal, Artzai Gazta</v>
      </c>
      <c r="Z15" s="65"/>
      <c r="AC15" s="65" t="s">
        <v>764</v>
      </c>
      <c r="AD15" s="65"/>
      <c r="AE15" s="65"/>
      <c r="AK15" s="65" t="s">
        <v>764</v>
      </c>
      <c r="AP15" s="65"/>
      <c r="AX15" s="65"/>
      <c r="AZ15" s="65"/>
      <c r="BO15" s="65"/>
      <c r="CH15" s="3" t="s">
        <v>764</v>
      </c>
      <c r="CI15" s="2" t="s">
        <v>764</v>
      </c>
      <c r="CJ15" s="65" t="s">
        <v>764</v>
      </c>
      <c r="CK15" s="3" t="s">
        <v>764</v>
      </c>
      <c r="CL15" s="65" t="s">
        <v>764</v>
      </c>
      <c r="CO15" s="3" t="s">
        <v>764</v>
      </c>
      <c r="CR15" s="65" t="s">
        <v>764</v>
      </c>
      <c r="CW15" s="65" t="s">
        <v>764</v>
      </c>
      <c r="CX15" s="65" t="s">
        <v>764</v>
      </c>
    </row>
    <row r="16" spans="1:103" ht="19.5" customHeight="1" x14ac:dyDescent="0.25">
      <c r="A16" s="8">
        <v>287</v>
      </c>
      <c r="B16" s="2" t="s">
        <v>2360</v>
      </c>
      <c r="C16" s="2" t="s">
        <v>2361</v>
      </c>
      <c r="D16" s="29" t="s">
        <v>2362</v>
      </c>
      <c r="E16" s="29" t="s">
        <v>2363</v>
      </c>
      <c r="F16" s="18"/>
      <c r="G16" s="8">
        <f ca="1">DATEDIF(F16, TODAY(), "Y")</f>
        <v>126</v>
      </c>
      <c r="H16" s="2" t="s">
        <v>2308</v>
      </c>
      <c r="I16" s="2" t="s">
        <v>2364</v>
      </c>
      <c r="J16" s="29"/>
      <c r="L16" s="1">
        <v>665755988</v>
      </c>
      <c r="M16" s="30" t="s">
        <v>2365</v>
      </c>
      <c r="N16" s="31"/>
      <c r="O16" s="35"/>
      <c r="P16" s="65" t="s">
        <v>2366</v>
      </c>
      <c r="Q16" s="65"/>
      <c r="R16" s="49"/>
      <c r="S16" s="49"/>
      <c r="T16" s="49"/>
      <c r="U16" s="2" t="str" cm="1">
        <f t="array" ref="U16">_xlfn.TEXTJOIN(", ", TRUE, IF(Y16:CG16="X", $Y$3:$CG$3, ""))</f>
        <v/>
      </c>
      <c r="V16" s="18" t="str" cm="1">
        <f t="array" ref="V16">_xlfn.TEXTJOIN(", ", TRUE, IF(Y16:CG16="X", $Y$2:$CG$2, ""))</f>
        <v/>
      </c>
      <c r="W16" s="2" t="str" cm="1">
        <f t="array" ref="W16">_xlfn.TEXTJOIN(", ", TRUE, IF(CH16:CS16="X", $CH$3:$CS$3, ""))</f>
        <v/>
      </c>
      <c r="X16" s="2" t="str" cm="1">
        <f t="array" ref="X16">_xlfn.TEXTJOIN(", ", TRUE, IF(CT16:CX16="X", $CT$3:$CX$3, ""))</f>
        <v/>
      </c>
    </row>
    <row r="17" spans="1:102" ht="19.5" customHeight="1" x14ac:dyDescent="0.25">
      <c r="A17" s="8">
        <v>289</v>
      </c>
      <c r="B17" s="2" t="s">
        <v>2360</v>
      </c>
      <c r="C17" s="2" t="s">
        <v>2361</v>
      </c>
      <c r="D17" s="29" t="s">
        <v>2362</v>
      </c>
      <c r="E17" s="29" t="s">
        <v>2363</v>
      </c>
      <c r="F17" s="18">
        <v>30982</v>
      </c>
      <c r="G17" s="8">
        <f ca="1">DATEDIF(F17, TODAY(), "Y")</f>
        <v>41</v>
      </c>
      <c r="H17" s="2" t="s">
        <v>2308</v>
      </c>
      <c r="I17" s="2" t="s">
        <v>2373</v>
      </c>
      <c r="J17" s="29"/>
      <c r="L17" s="1">
        <v>665755988</v>
      </c>
      <c r="M17" s="30" t="s">
        <v>2365</v>
      </c>
      <c r="N17" s="31"/>
      <c r="O17" s="35"/>
      <c r="P17" s="65" t="s">
        <v>2374</v>
      </c>
      <c r="Q17" s="65"/>
      <c r="R17" s="18"/>
      <c r="S17" s="18"/>
      <c r="T17" s="18"/>
      <c r="U17" s="2" t="str" cm="1">
        <f t="array" ref="U17">_xlfn.TEXTJOIN(", ", TRUE, IF(Y17:CG17="X", $Y$3:$CG$3, ""))</f>
        <v>Behi haragia</v>
      </c>
      <c r="V17" s="18" t="str" cm="1">
        <f t="array" ref="V17">_xlfn.TEXTJOIN(", ", TRUE, IF(Y17:CG17="X", $Y$2:$CG$2, ""))</f>
        <v>HARAGIA</v>
      </c>
      <c r="W17" s="2" t="str" cm="1">
        <f t="array" ref="W17">_xlfn.TEXTJOIN(", ", TRUE, IF(CH17:CS17="X", $CH$3:$CS$3, ""))</f>
        <v/>
      </c>
      <c r="X17" s="2" t="str" cm="1">
        <f t="array" ref="X17">_xlfn.TEXTJOIN(", ", TRUE, IF(CT17:CX17="X", $CT$3:$CX$3, ""))</f>
        <v/>
      </c>
      <c r="AJ17" s="3" t="s">
        <v>764</v>
      </c>
      <c r="AK17" s="82"/>
      <c r="AP17" s="82"/>
      <c r="BD17" s="82"/>
      <c r="CI17" s="82"/>
      <c r="CT17" s="82"/>
    </row>
    <row r="18" spans="1:102" ht="19.5" customHeight="1" x14ac:dyDescent="0.25">
      <c r="A18" s="8">
        <v>292</v>
      </c>
      <c r="B18" s="2" t="s">
        <v>2387</v>
      </c>
      <c r="C18" s="2" t="s">
        <v>1936</v>
      </c>
      <c r="D18" s="29" t="s">
        <v>2388</v>
      </c>
      <c r="E18" s="29" t="s">
        <v>2389</v>
      </c>
      <c r="F18" s="18"/>
      <c r="G18" s="8">
        <f ca="1">DATEDIF(F18, TODAY(), "Y")</f>
        <v>126</v>
      </c>
      <c r="H18" s="2" t="s">
        <v>2308</v>
      </c>
      <c r="I18" s="2" t="s">
        <v>2390</v>
      </c>
      <c r="J18" s="29"/>
      <c r="L18" s="1">
        <v>665755988</v>
      </c>
      <c r="M18" s="30" t="s">
        <v>2365</v>
      </c>
      <c r="N18" s="31"/>
      <c r="O18" s="31"/>
      <c r="P18" s="2" t="s">
        <v>2391</v>
      </c>
      <c r="Q18" s="2"/>
      <c r="R18" s="49"/>
      <c r="S18" s="49"/>
      <c r="T18" s="49"/>
      <c r="U18" s="2" t="str" cm="1">
        <f t="array" ref="U18">_xlfn.TEXTJOIN(", ", TRUE, IF(Y18:CG18="X", $Y$3:$CG$3, ""))</f>
        <v/>
      </c>
      <c r="V18" s="18" t="str" cm="1">
        <f t="array" ref="V18">_xlfn.TEXTJOIN(", ", TRUE, IF(Y18:CG18="X", $Y$2:$CG$2, ""))</f>
        <v/>
      </c>
      <c r="W18" s="2" t="str" cm="1">
        <f t="array" ref="W18">_xlfn.TEXTJOIN(", ", TRUE, IF(CH18:CS18="X", $CH$3:$CS$3, ""))</f>
        <v/>
      </c>
      <c r="X18" s="2" t="str" cm="1">
        <f t="array" ref="X18">_xlfn.TEXTJOIN(", ", TRUE, IF(CT18:CX18="X", $CT$3:$CX$3, ""))</f>
        <v/>
      </c>
      <c r="BW18" s="49"/>
      <c r="CH18" s="49"/>
      <c r="CI18" s="82"/>
      <c r="CJ18" s="49"/>
      <c r="CK18" s="49"/>
      <c r="CP18" s="82"/>
      <c r="CQ18" s="82"/>
    </row>
    <row r="19" spans="1:102" ht="19.5" customHeight="1" x14ac:dyDescent="0.25">
      <c r="A19" s="8">
        <v>398</v>
      </c>
      <c r="B19" s="2" t="s">
        <v>1301</v>
      </c>
      <c r="C19" s="2" t="s">
        <v>1302</v>
      </c>
      <c r="D19" s="29" t="s">
        <v>1303</v>
      </c>
      <c r="E19" s="29" t="s">
        <v>1304</v>
      </c>
      <c r="F19" s="18"/>
      <c r="G19" s="8">
        <f ca="1">DATEDIF(F19, TODAY(), "Y")</f>
        <v>126</v>
      </c>
      <c r="H19" s="2" t="s">
        <v>2841</v>
      </c>
      <c r="I19" s="2" t="s">
        <v>2842</v>
      </c>
      <c r="J19" s="29"/>
      <c r="L19" s="1">
        <v>650662035</v>
      </c>
      <c r="M19" s="30" t="s">
        <v>2843</v>
      </c>
      <c r="N19" s="31"/>
      <c r="O19" s="31"/>
      <c r="P19" s="2" t="s">
        <v>2844</v>
      </c>
      <c r="Q19" s="29" t="s">
        <v>3019</v>
      </c>
      <c r="R19" s="65" t="s">
        <v>1216</v>
      </c>
      <c r="S19" s="65"/>
      <c r="T19" s="65"/>
      <c r="U19" s="2" t="str" cm="1">
        <f t="array" ref="U19">_xlfn.TEXTJOIN(", ", TRUE, IF(Y19:CG19="X", $Y$3:$CG$3, ""))</f>
        <v>Behi haragia, Txerrikiak, Oilaskoak</v>
      </c>
      <c r="V19" s="18" t="str" cm="1">
        <f t="array" ref="V19">_xlfn.TEXTJOIN(", ", TRUE, IF(Y19:CG19="X", $Y$2:$CG$2, ""))</f>
        <v>HARAGIA, HARAGIA, HARAGIA</v>
      </c>
      <c r="W19" s="2" t="str" cm="1">
        <f t="array" ref="W19">_xlfn.TEXTJOIN(", ", TRUE, IF(CH19:CS19="X", $CH$3:$CS$3, ""))</f>
        <v/>
      </c>
      <c r="X19" s="2" t="str" cm="1">
        <f t="array" ref="X19">_xlfn.TEXTJOIN(", ", TRUE, IF(CT19:CX19="X", $CT$3:$CX$3, ""))</f>
        <v/>
      </c>
      <c r="AC19" s="49"/>
      <c r="AJ19" s="65" t="s">
        <v>764</v>
      </c>
      <c r="AM19" s="65" t="s">
        <v>764</v>
      </c>
      <c r="AN19" s="65" t="s">
        <v>764</v>
      </c>
      <c r="CW19" s="49"/>
      <c r="CX19" s="49"/>
    </row>
    <row r="20" spans="1:102" ht="19.5" customHeight="1" x14ac:dyDescent="0.25">
      <c r="A20" s="8">
        <v>260</v>
      </c>
      <c r="B20" s="2" t="s">
        <v>2214</v>
      </c>
      <c r="C20" s="2" t="s">
        <v>2215</v>
      </c>
      <c r="D20" s="29" t="s">
        <v>2216</v>
      </c>
      <c r="E20" s="29" t="s">
        <v>2217</v>
      </c>
      <c r="F20" s="18">
        <v>25270</v>
      </c>
      <c r="G20" s="8">
        <f ca="1">DATEDIF(F20, TODAY(), "Y")</f>
        <v>57</v>
      </c>
      <c r="H20" s="2" t="s">
        <v>585</v>
      </c>
      <c r="I20" s="2" t="s">
        <v>770</v>
      </c>
      <c r="J20" s="29"/>
      <c r="L20" s="1">
        <v>652706469</v>
      </c>
      <c r="M20" s="30" t="s">
        <v>2218</v>
      </c>
      <c r="N20" s="31"/>
      <c r="O20" s="35"/>
      <c r="P20" s="65" t="s">
        <v>2219</v>
      </c>
      <c r="Q20" s="65" t="s">
        <v>3020</v>
      </c>
      <c r="R20" s="2" t="s">
        <v>772</v>
      </c>
      <c r="S20" s="2"/>
      <c r="T20" s="2"/>
      <c r="U20" s="2" t="str" cm="1">
        <f t="array" ref="U20">_xlfn.TEXTJOIN(", ", TRUE, IF(Y20:CG20="X", $Y$3:$CG$3, ""))</f>
        <v>Behi esnea, Ardi esnea, Iogurtak, Membriloa, Sagarrak, Intxaurrak, Ogia</v>
      </c>
      <c r="V20" s="18" t="str" cm="1">
        <f t="array" ref="V20">_xlfn.TEXTJOIN(", ", TRUE, IF(Y20:CG20="X", $Y$2:$CG$2, ""))</f>
        <v>ESNEKIAK, ESNEKIAK, ESNEKIAK, ERATORRIAK, FRUTA, FRUITU LEHORRAK, OGIGINTZA</v>
      </c>
      <c r="W20" s="2" t="str" cm="1">
        <f t="array" ref="W20">_xlfn.TEXTJOIN(", ", TRUE, IF(CH20:CS20="X", $CH$3:$CS$3, ""))</f>
        <v>Etxetik, Dendetan, Harategian, Bertatik Bertara</v>
      </c>
      <c r="X20" s="2" t="str" cm="1">
        <f t="array" ref="X20">_xlfn.TEXTJOIN(", ", TRUE, IF(CT20:CX20="X", $CT$3:$CX$3, ""))</f>
        <v/>
      </c>
      <c r="Y20" s="65" t="s">
        <v>764</v>
      </c>
      <c r="Z20" s="65" t="s">
        <v>764</v>
      </c>
      <c r="AE20" s="65" t="s">
        <v>764</v>
      </c>
      <c r="AR20" s="82"/>
      <c r="AS20" s="82"/>
      <c r="AY20" s="65" t="s">
        <v>764</v>
      </c>
      <c r="BF20" s="65" t="s">
        <v>764</v>
      </c>
      <c r="BO20" s="65" t="s">
        <v>764</v>
      </c>
      <c r="BX20" s="65" t="s">
        <v>764</v>
      </c>
      <c r="CI20" s="65" t="s">
        <v>764</v>
      </c>
      <c r="CJ20" s="2" t="s">
        <v>764</v>
      </c>
      <c r="CL20" s="2" t="s">
        <v>764</v>
      </c>
      <c r="CR20" s="65" t="s">
        <v>764</v>
      </c>
    </row>
    <row r="21" spans="1:102" ht="19.5" customHeight="1" x14ac:dyDescent="0.25">
      <c r="A21" s="8">
        <v>330</v>
      </c>
      <c r="B21" s="2" t="s">
        <v>2606</v>
      </c>
      <c r="C21" s="2" t="s">
        <v>2607</v>
      </c>
      <c r="D21" s="29" t="s">
        <v>2608</v>
      </c>
      <c r="E21" s="29" t="s">
        <v>2609</v>
      </c>
      <c r="F21" s="18">
        <v>24599</v>
      </c>
      <c r="G21" s="8">
        <f ca="1">DATEDIF(F21, TODAY(), "Y")</f>
        <v>59</v>
      </c>
      <c r="H21" s="2" t="s">
        <v>476</v>
      </c>
      <c r="I21" s="2" t="s">
        <v>770</v>
      </c>
      <c r="J21" s="29"/>
      <c r="L21" s="1" t="s">
        <v>2610</v>
      </c>
      <c r="M21" s="30" t="s">
        <v>2611</v>
      </c>
      <c r="N21" s="31"/>
      <c r="O21" s="55" t="s">
        <v>3120</v>
      </c>
      <c r="P21" s="2" t="s">
        <v>2612</v>
      </c>
      <c r="Q21" s="2" t="s">
        <v>3020</v>
      </c>
      <c r="R21" s="2" t="s">
        <v>1216</v>
      </c>
      <c r="S21" s="2"/>
      <c r="T21" s="2"/>
      <c r="U21" s="2" t="str" cm="1">
        <f t="array" ref="U21">_xlfn.TEXTJOIN(", ", TRUE, IF(Y21:CG21="X", $Y$3:$CG$3, ""))</f>
        <v>Fruta, Intxaurrak</v>
      </c>
      <c r="V21" s="18" t="str" cm="1">
        <f t="array" ref="V21">_xlfn.TEXTJOIN(", ", TRUE, IF(Y21:CG21="X", $Y$2:$CG$2, ""))</f>
        <v>FRUTA, FRUITU LEHORRAK</v>
      </c>
      <c r="W21" s="2" t="str" cm="1">
        <f t="array" ref="W21">_xlfn.TEXTJOIN(", ", TRUE, IF(CH21:CS21="X", $CH$3:$CS$3, ""))</f>
        <v>Etxetik, Dendetan, Bertatik Bertara</v>
      </c>
      <c r="X21" s="2" t="str" cm="1">
        <f t="array" ref="X21">_xlfn.TEXTJOIN(", ", TRUE, IF(CT21:CX21="X", $CT$3:$CX$3, ""))</f>
        <v>Ekologikoa</v>
      </c>
      <c r="AS21" s="82"/>
      <c r="BD21" s="65" t="s">
        <v>764</v>
      </c>
      <c r="BO21" s="65" t="s">
        <v>764</v>
      </c>
      <c r="CH21" s="49"/>
      <c r="CI21" s="2" t="s">
        <v>764</v>
      </c>
      <c r="CJ21" s="65" t="s">
        <v>764</v>
      </c>
      <c r="CO21" s="82"/>
      <c r="CP21" s="82"/>
      <c r="CQ21" s="82"/>
      <c r="CR21" s="65" t="s">
        <v>764</v>
      </c>
      <c r="CT21" s="65" t="s">
        <v>764</v>
      </c>
    </row>
    <row r="22" spans="1:102" ht="19.5" customHeight="1" x14ac:dyDescent="0.25">
      <c r="A22" s="8">
        <v>116</v>
      </c>
      <c r="B22" s="2" t="s">
        <v>1399</v>
      </c>
      <c r="C22" s="2" t="s">
        <v>1400</v>
      </c>
      <c r="D22" s="29" t="s">
        <v>1401</v>
      </c>
      <c r="E22" s="29" t="s">
        <v>1402</v>
      </c>
      <c r="F22" s="18">
        <v>22836</v>
      </c>
      <c r="G22" s="8">
        <f ca="1">DATEDIF(F22, TODAY(), "Y")</f>
        <v>64</v>
      </c>
      <c r="H22" s="2" t="s">
        <v>537</v>
      </c>
      <c r="I22" s="2" t="s">
        <v>1403</v>
      </c>
      <c r="J22" s="29"/>
      <c r="L22" s="1" t="s">
        <v>1404</v>
      </c>
      <c r="M22" s="30" t="s">
        <v>1405</v>
      </c>
      <c r="N22" s="31"/>
      <c r="O22" s="35"/>
      <c r="P22" s="65" t="s">
        <v>1406</v>
      </c>
      <c r="Q22" s="65" t="s">
        <v>3020</v>
      </c>
      <c r="R22" s="2" t="s">
        <v>1216</v>
      </c>
      <c r="S22" s="2"/>
      <c r="T22" s="2"/>
      <c r="U22" s="2" t="str" cm="1">
        <f t="array" ref="U22">_xlfn.TEXTJOIN(", ", TRUE, IF(Y22:CG22="X", $Y$3:$CG$3, ""))</f>
        <v>Fruta, Sagarrak</v>
      </c>
      <c r="V22" s="18" t="str" cm="1">
        <f t="array" ref="V22">_xlfn.TEXTJOIN(", ", TRUE, IF(Y22:CG22="X", $Y$2:$CG$2, ""))</f>
        <v>FRUTA, FRUTA</v>
      </c>
      <c r="W22" s="2" t="str" cm="1">
        <f t="array" ref="W22">_xlfn.TEXTJOIN(", ", TRUE, IF(CH22:CS22="X", $CH$3:$CS$3, ""))</f>
        <v>Etxetik, Bertatik Bertara</v>
      </c>
      <c r="X22" s="2" t="str" cm="1">
        <f t="array" ref="X22">_xlfn.TEXTJOIN(", ", TRUE, IF(CT22:CX22="X", $CT$3:$CX$3, ""))</f>
        <v>Ekologikoa</v>
      </c>
      <c r="BD22" s="65" t="s">
        <v>764</v>
      </c>
      <c r="BF22" s="65" t="s">
        <v>764</v>
      </c>
      <c r="CI22" s="65" t="s">
        <v>764</v>
      </c>
      <c r="CL22" s="49"/>
      <c r="CR22" s="65" t="s">
        <v>764</v>
      </c>
      <c r="CT22" s="65" t="s">
        <v>764</v>
      </c>
    </row>
    <row r="23" spans="1:102" ht="19.5" customHeight="1" x14ac:dyDescent="0.25">
      <c r="A23" s="8">
        <v>411</v>
      </c>
      <c r="B23" s="49"/>
      <c r="C23" s="49"/>
      <c r="D23" s="29" t="s">
        <v>3028</v>
      </c>
      <c r="E23" s="29" t="s">
        <v>3029</v>
      </c>
      <c r="F23" s="66">
        <v>29791</v>
      </c>
      <c r="G23" s="8">
        <f ca="1">DATEDIF(F23, TODAY(), "Y")</f>
        <v>45</v>
      </c>
      <c r="H23" s="2" t="s">
        <v>464</v>
      </c>
      <c r="I23" s="49" t="s">
        <v>3027</v>
      </c>
      <c r="J23" s="38"/>
      <c r="K23" s="3" t="s">
        <v>3024</v>
      </c>
      <c r="L23" s="1">
        <v>606435022</v>
      </c>
      <c r="M23" s="30" t="s">
        <v>3025</v>
      </c>
      <c r="N23" s="31"/>
      <c r="O23" s="31"/>
      <c r="P23" s="2" t="s">
        <v>2873</v>
      </c>
      <c r="Q23" s="2" t="s">
        <v>3019</v>
      </c>
      <c r="R23" s="49"/>
      <c r="S23" s="49"/>
      <c r="T23" s="49"/>
      <c r="U23" s="2" t="str" cm="1">
        <f t="array" ref="U23">_xlfn.TEXTJOIN(", ", TRUE, IF(Y23:CG23="X", $Y$3:$CG$3, ""))</f>
        <v>Fruta, Sendabelarrak</v>
      </c>
      <c r="V23" s="18" t="str" cm="1">
        <f t="array" ref="V23">_xlfn.TEXTJOIN(", ", TRUE, IF(Y23:CG23="X", $Y$2:$CG$2, ""))</f>
        <v>FRUTA, LANDAREAK</v>
      </c>
      <c r="W23" s="2" t="str" cm="1">
        <f t="array" ref="W23">_xlfn.TEXTJOIN(", ", TRUE, IF(CH23:CS23="X", $CH$3:$CS$3, ""))</f>
        <v/>
      </c>
      <c r="X23" s="2" t="str" cm="1">
        <f t="array" ref="X23">_xlfn.TEXTJOIN(", ", TRUE, IF(CT23:CX23="X", $CT$3:$CX$3, ""))</f>
        <v>Ekologikoa</v>
      </c>
      <c r="BD23" s="65" t="s">
        <v>764</v>
      </c>
      <c r="BV23" s="65" t="s">
        <v>764</v>
      </c>
      <c r="CH23" s="49"/>
      <c r="CT23" s="65" t="s">
        <v>764</v>
      </c>
    </row>
    <row r="24" spans="1:102" ht="19.5" customHeight="1" x14ac:dyDescent="0.25">
      <c r="A24" s="8">
        <v>233</v>
      </c>
      <c r="B24" s="2" t="s">
        <v>2060</v>
      </c>
      <c r="C24" s="2" t="s">
        <v>2061</v>
      </c>
      <c r="D24" s="29" t="s">
        <v>2062</v>
      </c>
      <c r="E24" s="29" t="s">
        <v>2063</v>
      </c>
      <c r="F24" s="18"/>
      <c r="G24" s="8">
        <f ca="1">DATEDIF(F24, TODAY(), "Y")</f>
        <v>126</v>
      </c>
      <c r="H24" s="2" t="s">
        <v>566</v>
      </c>
      <c r="I24" s="2" t="s">
        <v>2064</v>
      </c>
      <c r="J24" s="29"/>
      <c r="K24" s="3" t="s">
        <v>3088</v>
      </c>
      <c r="L24" s="1">
        <v>635747970</v>
      </c>
      <c r="M24" s="30" t="s">
        <v>2065</v>
      </c>
      <c r="N24" s="31"/>
      <c r="O24" s="31"/>
      <c r="P24" s="2" t="s">
        <v>2066</v>
      </c>
      <c r="Q24" s="2" t="s">
        <v>3021</v>
      </c>
      <c r="R24" s="49"/>
      <c r="S24" s="49"/>
      <c r="T24" s="49"/>
      <c r="U24" s="2" t="str" cm="1">
        <f t="array" ref="U24">_xlfn.TEXTJOIN(", ", TRUE, IF(Y24:CG24="X", $Y$3:$CG$3, ""))</f>
        <v>Ardi gazta</v>
      </c>
      <c r="V24" s="18" t="str" cm="1">
        <f t="array" ref="V24">_xlfn.TEXTJOIN(", ", TRUE, IF(Y24:CG24="X", $Y$2:$CG$2, ""))</f>
        <v>ESNEKIAK</v>
      </c>
      <c r="W24" s="2" t="str" cm="1">
        <f t="array" ref="W24">_xlfn.TEXTJOIN(", ", TRUE, IF(CH24:CS24="X", $CH$3:$CS$3, ""))</f>
        <v/>
      </c>
      <c r="X24" s="2" t="str" cm="1">
        <f t="array" ref="X24">_xlfn.TEXTJOIN(", ", TRUE, IF(CT24:CX24="X", $CT$3:$CX$3, ""))</f>
        <v>DO Idiazabal, Artzai Gazta</v>
      </c>
      <c r="AC24" s="65" t="s">
        <v>764</v>
      </c>
      <c r="AQ24" s="49"/>
      <c r="CW24" s="65" t="s">
        <v>764</v>
      </c>
      <c r="CX24" s="65" t="s">
        <v>764</v>
      </c>
    </row>
    <row r="25" spans="1:102" ht="19.5" customHeight="1" x14ac:dyDescent="0.25">
      <c r="A25" s="8">
        <v>277</v>
      </c>
      <c r="B25" s="2" t="s">
        <v>2310</v>
      </c>
      <c r="C25" s="2" t="s">
        <v>2311</v>
      </c>
      <c r="D25" s="29" t="s">
        <v>2312</v>
      </c>
      <c r="E25" s="29" t="s">
        <v>2313</v>
      </c>
      <c r="F25" s="18">
        <v>36298</v>
      </c>
      <c r="G25" s="8">
        <f ca="1">DATEDIF(F25, TODAY(), "Y")</f>
        <v>27</v>
      </c>
      <c r="H25" s="2" t="s">
        <v>2308</v>
      </c>
      <c r="I25" s="2" t="s">
        <v>2314</v>
      </c>
      <c r="J25" s="29"/>
      <c r="L25" s="1" t="s">
        <v>2315</v>
      </c>
      <c r="M25" s="30" t="s">
        <v>2316</v>
      </c>
      <c r="N25" s="31"/>
      <c r="O25" s="31"/>
      <c r="P25" s="2" t="s">
        <v>2317</v>
      </c>
      <c r="Q25" s="2" t="s">
        <v>3019</v>
      </c>
      <c r="R25" s="2" t="s">
        <v>1216</v>
      </c>
      <c r="S25" s="2"/>
      <c r="T25" s="2"/>
      <c r="U25" s="2" t="str" cm="1">
        <f t="array" ref="U25">_xlfn.TEXTJOIN(", ", TRUE, IF(Y25:CG25="X", $Y$3:$CG$3, ""))</f>
        <v>Ardi gazta</v>
      </c>
      <c r="V25" s="18" t="str" cm="1">
        <f t="array" ref="V25">_xlfn.TEXTJOIN(", ", TRUE, IF(Y25:CG25="X", $Y$2:$CG$2, ""))</f>
        <v>ESNEKIAK</v>
      </c>
      <c r="W25" s="2" t="str" cm="1">
        <f t="array" ref="W25">_xlfn.TEXTJOIN(", ", TRUE, IF(CH25:CS25="X", $CH$3:$CS$3, ""))</f>
        <v/>
      </c>
      <c r="X25" s="2" t="str" cm="1">
        <f t="array" ref="X25">_xlfn.TEXTJOIN(", ", TRUE, IF(CT25:CX25="X", $CT$3:$CX$3, ""))</f>
        <v>DO Idiazabal, Artzai Gazta</v>
      </c>
      <c r="AC25" s="65" t="s">
        <v>764</v>
      </c>
      <c r="CI25" s="82"/>
      <c r="CW25" s="65" t="s">
        <v>764</v>
      </c>
      <c r="CX25" s="65" t="s">
        <v>764</v>
      </c>
    </row>
    <row r="26" spans="1:102" ht="18.75" customHeight="1" x14ac:dyDescent="0.25">
      <c r="A26" s="8">
        <v>26</v>
      </c>
      <c r="B26" s="2" t="s">
        <v>898</v>
      </c>
      <c r="C26" s="2" t="s">
        <v>899</v>
      </c>
      <c r="D26" s="29" t="s">
        <v>900</v>
      </c>
      <c r="E26" s="29" t="s">
        <v>901</v>
      </c>
      <c r="F26" s="18">
        <v>21419</v>
      </c>
      <c r="G26" s="8">
        <f ca="1">DATEDIF(F26, TODAY(), "Y")</f>
        <v>67</v>
      </c>
      <c r="H26" s="2" t="s">
        <v>803</v>
      </c>
      <c r="I26" s="2" t="s">
        <v>902</v>
      </c>
      <c r="J26" s="29"/>
      <c r="L26" s="1">
        <v>646920885</v>
      </c>
      <c r="M26" s="30" t="s">
        <v>903</v>
      </c>
      <c r="N26" s="31"/>
      <c r="O26" s="31"/>
      <c r="P26" s="2" t="s">
        <v>904</v>
      </c>
      <c r="Q26" s="2"/>
      <c r="R26" s="18"/>
      <c r="S26" s="18"/>
      <c r="T26" s="18"/>
      <c r="U26" s="2" t="str" cm="1">
        <f t="array" ref="U26">_xlfn.TEXTJOIN(", ", TRUE, IF(Y26:CG26="X", $Y$3:$CG$3, ""))</f>
        <v/>
      </c>
      <c r="V26" s="18" t="str" cm="1">
        <f t="array" ref="V26">_xlfn.TEXTJOIN(", ", TRUE, IF(Y26:CG26="X", $Y$2:$CG$2, ""))</f>
        <v/>
      </c>
      <c r="W26" s="2" t="str" cm="1">
        <f t="array" ref="W26">_xlfn.TEXTJOIN(", ", TRUE, IF(CH26:CS26="X", $CH$3:$CS$3, ""))</f>
        <v/>
      </c>
      <c r="X26" s="2" t="str" cm="1">
        <f t="array" ref="X26">_xlfn.TEXTJOIN(", ", TRUE, IF(CT26:CX26="X", $CT$3:$CX$3, ""))</f>
        <v/>
      </c>
    </row>
    <row r="27" spans="1:102" ht="18.75" customHeight="1" x14ac:dyDescent="0.25">
      <c r="A27" s="8">
        <v>77</v>
      </c>
      <c r="B27" s="2" t="s">
        <v>1170</v>
      </c>
      <c r="C27" s="2" t="s">
        <v>1171</v>
      </c>
      <c r="D27" s="29" t="s">
        <v>1172</v>
      </c>
      <c r="E27" s="29" t="s">
        <v>1173</v>
      </c>
      <c r="F27" s="18">
        <v>30683</v>
      </c>
      <c r="G27" s="8">
        <f ca="1">DATEDIF(F27, TODAY(), "Y")</f>
        <v>42</v>
      </c>
      <c r="H27" s="2" t="s">
        <v>532</v>
      </c>
      <c r="I27" s="2" t="s">
        <v>1174</v>
      </c>
      <c r="J27" s="29"/>
      <c r="L27" s="1">
        <v>665737613</v>
      </c>
      <c r="M27" s="30" t="s">
        <v>1175</v>
      </c>
      <c r="N27" s="31"/>
      <c r="O27" s="31"/>
      <c r="P27" s="2" t="s">
        <v>1176</v>
      </c>
      <c r="Q27" s="2" t="s">
        <v>3019</v>
      </c>
      <c r="R27" s="2" t="s">
        <v>772</v>
      </c>
      <c r="S27" s="2"/>
      <c r="T27" s="2"/>
      <c r="U27" s="2" t="str" cm="1">
        <f t="array" ref="U27">_xlfn.TEXTJOIN(", ", TRUE, IF(Y27:CG27="X", $Y$3:$CG$3, ""))</f>
        <v>Behi haragia</v>
      </c>
      <c r="V27" s="18" t="str" cm="1">
        <f t="array" ref="V27">_xlfn.TEXTJOIN(", ", TRUE, IF(Y27:CG27="X", $Y$2:$CG$2, ""))</f>
        <v>HARAGIA</v>
      </c>
      <c r="W27" s="2" t="str" cm="1">
        <f t="array" ref="W27">_xlfn.TEXTJOIN(", ", TRUE, IF(CH27:CS27="X", $CH$3:$CS$3, ""))</f>
        <v>Etxetik, Dendetan, Biziola</v>
      </c>
      <c r="X27" s="2" t="str" cm="1">
        <f t="array" ref="X27">_xlfn.TEXTJOIN(", ", TRUE, IF(CT27:CX27="X", $CT$3:$CX$3, ""))</f>
        <v>Ekologikoa</v>
      </c>
      <c r="AJ27" s="65" t="s">
        <v>764</v>
      </c>
      <c r="CI27" s="65" t="s">
        <v>764</v>
      </c>
      <c r="CJ27" s="65" t="s">
        <v>764</v>
      </c>
      <c r="CL27" s="49"/>
      <c r="CP27" s="65" t="s">
        <v>764</v>
      </c>
      <c r="CQ27" s="65"/>
      <c r="CT27" s="65" t="s">
        <v>764</v>
      </c>
    </row>
    <row r="28" spans="1:102" ht="18.75" customHeight="1" x14ac:dyDescent="0.25">
      <c r="A28" s="8">
        <v>10</v>
      </c>
      <c r="B28" s="2" t="s">
        <v>805</v>
      </c>
      <c r="C28" s="2" t="s">
        <v>806</v>
      </c>
      <c r="D28" s="29" t="s">
        <v>807</v>
      </c>
      <c r="E28" s="29" t="s">
        <v>808</v>
      </c>
      <c r="F28" s="18"/>
      <c r="G28" s="8">
        <f ca="1">DATEDIF(F28, TODAY(), "Y")</f>
        <v>126</v>
      </c>
      <c r="H28" s="2" t="s">
        <v>803</v>
      </c>
      <c r="I28" s="2" t="s">
        <v>809</v>
      </c>
      <c r="J28" s="29"/>
      <c r="L28" s="1">
        <v>630386773</v>
      </c>
      <c r="M28" s="30" t="s">
        <v>80</v>
      </c>
      <c r="N28" s="31"/>
      <c r="O28" s="31"/>
      <c r="P28" s="2" t="s">
        <v>810</v>
      </c>
      <c r="Q28" s="2"/>
      <c r="R28" s="49"/>
      <c r="S28" s="49"/>
      <c r="T28" s="49"/>
      <c r="U28" s="2" t="str" cm="1">
        <f t="array" ref="U28">_xlfn.TEXTJOIN(", ", TRUE, IF(Y28:CG28="X", $Y$3:$CG$3, ""))</f>
        <v/>
      </c>
      <c r="V28" s="18" t="str" cm="1">
        <f t="array" ref="V28">_xlfn.TEXTJOIN(", ", TRUE, IF(Y28:CG28="X", $Y$2:$CG$2, ""))</f>
        <v/>
      </c>
      <c r="W28" s="2" t="str" cm="1">
        <f t="array" ref="W28">_xlfn.TEXTJOIN(", ", TRUE, IF(CH28:CS28="X", $CH$3:$CS$3, ""))</f>
        <v/>
      </c>
      <c r="X28" s="2" t="str" cm="1">
        <f t="array" ref="X28">_xlfn.TEXTJOIN(", ", TRUE, IF(CT28:CX28="X", $CT$3:$CX$3, ""))</f>
        <v/>
      </c>
      <c r="BW28" s="82"/>
      <c r="CH28" s="82"/>
      <c r="CJ28" s="82"/>
      <c r="CK28" s="82"/>
      <c r="CL28" s="49"/>
      <c r="CS28" s="49"/>
    </row>
    <row r="29" spans="1:102" ht="18.75" customHeight="1" x14ac:dyDescent="0.25">
      <c r="A29" s="8">
        <v>98</v>
      </c>
      <c r="B29" s="2" t="s">
        <v>1292</v>
      </c>
      <c r="C29" s="2" t="s">
        <v>1293</v>
      </c>
      <c r="D29" s="29" t="s">
        <v>1294</v>
      </c>
      <c r="E29" s="29" t="s">
        <v>1295</v>
      </c>
      <c r="F29" s="18"/>
      <c r="G29" s="8">
        <f ca="1">DATEDIF(F29, TODAY(), "Y")</f>
        <v>126</v>
      </c>
      <c r="H29" s="2" t="s">
        <v>537</v>
      </c>
      <c r="I29" s="2" t="s">
        <v>1296</v>
      </c>
      <c r="J29" s="29"/>
      <c r="L29" s="1">
        <v>943882680</v>
      </c>
      <c r="M29" s="30" t="s">
        <v>3058</v>
      </c>
      <c r="N29" s="31"/>
      <c r="O29" s="55" t="s">
        <v>3059</v>
      </c>
      <c r="P29" s="49"/>
      <c r="Q29" s="49"/>
      <c r="R29" s="49"/>
      <c r="S29" s="49"/>
      <c r="T29" s="49"/>
      <c r="U29" s="2" t="str" cm="1">
        <f t="array" ref="U29">_xlfn.TEXTJOIN(", ", TRUE, IF(Y29:CG29="X", $Y$3:$CG$3, ""))</f>
        <v>Barazkiak negutegian, Landareak</v>
      </c>
      <c r="V29" s="18" t="str" cm="1">
        <f t="array" ref="V29">_xlfn.TEXTJOIN(", ", TRUE, IF(Y29:CG29="X", $Y$2:$CG$2, ""))</f>
        <v>BARAZKIAK, LANDAREAK</v>
      </c>
      <c r="W29" s="2" t="str" cm="1">
        <f t="array" ref="W29">_xlfn.TEXTJOIN(", ", TRUE, IF(CH29:CS29="X", $CH$3:$CS$3, ""))</f>
        <v/>
      </c>
      <c r="X29" s="2" t="str" cm="1">
        <f t="array" ref="X29">_xlfn.TEXTJOIN(", ", TRUE, IF(CT29:CX29="X", $CT$3:$CX$3, ""))</f>
        <v/>
      </c>
      <c r="AC29" s="82"/>
      <c r="AT29" s="3" t="s">
        <v>764</v>
      </c>
      <c r="BW29" s="3" t="s">
        <v>764</v>
      </c>
      <c r="CW29" s="82"/>
      <c r="CX29" s="82"/>
    </row>
    <row r="30" spans="1:102" ht="18.75" customHeight="1" x14ac:dyDescent="0.25">
      <c r="A30" s="62"/>
      <c r="B30" s="49"/>
      <c r="C30" s="49"/>
      <c r="D30" s="29" t="s">
        <v>3125</v>
      </c>
      <c r="E30" s="29" t="s">
        <v>3126</v>
      </c>
      <c r="F30" s="66"/>
      <c r="G30" s="62"/>
      <c r="H30" s="2" t="s">
        <v>2448</v>
      </c>
      <c r="I30" s="49" t="s">
        <v>3117</v>
      </c>
      <c r="J30" s="38"/>
      <c r="L30" s="1">
        <v>635748153</v>
      </c>
      <c r="M30" s="55" t="s">
        <v>3118</v>
      </c>
      <c r="N30" s="49"/>
      <c r="O30" s="49"/>
      <c r="P30" s="49" t="s">
        <v>3119</v>
      </c>
      <c r="Q30" s="49"/>
      <c r="R30" s="49"/>
      <c r="S30" s="49"/>
      <c r="T30" s="49"/>
      <c r="U30" s="2" t="str" cm="1">
        <f t="array" ref="U30">_xlfn.TEXTJOIN(", ", TRUE, IF(Y30:CG30="X", $Y$3:$CG$3, ""))</f>
        <v>Barazkiak aire librean, Fruta, Sagarrak, Madaria, Intxaurrak</v>
      </c>
      <c r="V30" s="18" t="str" cm="1">
        <f t="array" ref="V30">_xlfn.TEXTJOIN(", ", TRUE, IF(Y30:CG30="X", $Y$2:$CG$2, ""))</f>
        <v>BARAZKIAK, FRUTA, FRUTA, FRUTA, FRUITU LEHORRAK</v>
      </c>
      <c r="W30" s="49"/>
      <c r="X30" s="49"/>
      <c r="AS30" s="3" t="s">
        <v>764</v>
      </c>
      <c r="AU30" s="49"/>
      <c r="AV30" s="49"/>
      <c r="BD30" s="3" t="s">
        <v>764</v>
      </c>
      <c r="BF30" s="3" t="s">
        <v>764</v>
      </c>
      <c r="BG30" s="3" t="s">
        <v>764</v>
      </c>
      <c r="BO30" s="3" t="s">
        <v>764</v>
      </c>
      <c r="CJ30" s="82"/>
      <c r="CL30" s="82"/>
    </row>
    <row r="31" spans="1:102" ht="18.75" customHeight="1" x14ac:dyDescent="0.25">
      <c r="A31" s="8">
        <v>395</v>
      </c>
      <c r="B31" s="2" t="s">
        <v>2811</v>
      </c>
      <c r="C31" s="2" t="s">
        <v>2812</v>
      </c>
      <c r="D31" s="29" t="s">
        <v>2813</v>
      </c>
      <c r="E31" s="29" t="s">
        <v>2814</v>
      </c>
      <c r="F31" s="18">
        <v>34788</v>
      </c>
      <c r="G31" s="8">
        <f ca="1">DATEDIF(F31, TODAY(), "Y")</f>
        <v>31</v>
      </c>
      <c r="H31" s="2" t="s">
        <v>2448</v>
      </c>
      <c r="I31" s="2" t="s">
        <v>2836</v>
      </c>
      <c r="J31" s="29"/>
      <c r="L31" s="1">
        <v>638068214</v>
      </c>
      <c r="M31" s="30" t="s">
        <v>2837</v>
      </c>
      <c r="N31" s="31"/>
      <c r="O31" s="31"/>
      <c r="P31" s="2" t="s">
        <v>2838</v>
      </c>
      <c r="Q31" s="29" t="s">
        <v>3019</v>
      </c>
      <c r="R31" s="67"/>
      <c r="S31" s="67"/>
      <c r="T31" s="67"/>
      <c r="U31" s="2" t="str" cm="1">
        <f t="array" ref="U31">_xlfn.TEXTJOIN(", ", TRUE, IF(Y31:CG31="X", $Y$3:$CG$3, ""))</f>
        <v>Fruta</v>
      </c>
      <c r="V31" s="18" t="str" cm="1">
        <f t="array" ref="V31">_xlfn.TEXTJOIN(", ", TRUE, IF(Y31:CG31="X", $Y$2:$CG$2, ""))</f>
        <v>FRUTA</v>
      </c>
      <c r="W31" s="2" t="str" cm="1">
        <f t="array" ref="W31">_xlfn.TEXTJOIN(", ", TRUE, IF(CH31:CS31="X", $CH$3:$CS$3, ""))</f>
        <v/>
      </c>
      <c r="X31" s="2" t="str" cm="1">
        <f t="array" ref="X31">_xlfn.TEXTJOIN(", ", TRUE, IF(CT31:CX31="X", $CT$3:$CX$3, ""))</f>
        <v>Ekologikoa</v>
      </c>
      <c r="BD31" s="65" t="s">
        <v>764</v>
      </c>
      <c r="CH31" s="82"/>
      <c r="CI31" s="82"/>
      <c r="CT31" s="65" t="s">
        <v>764</v>
      </c>
    </row>
    <row r="32" spans="1:102" ht="18.75" customHeight="1" x14ac:dyDescent="0.25">
      <c r="A32" s="8">
        <v>185</v>
      </c>
      <c r="B32" s="2" t="s">
        <v>1796</v>
      </c>
      <c r="C32" s="2" t="s">
        <v>1797</v>
      </c>
      <c r="D32" s="29" t="s">
        <v>1798</v>
      </c>
      <c r="E32" s="29" t="s">
        <v>1799</v>
      </c>
      <c r="F32" s="18">
        <v>22693</v>
      </c>
      <c r="G32" s="8">
        <f ca="1">DATEDIF(F32, TODAY(), "Y")</f>
        <v>64</v>
      </c>
      <c r="H32" s="2" t="s">
        <v>468</v>
      </c>
      <c r="I32" s="2" t="s">
        <v>1800</v>
      </c>
      <c r="J32" s="29"/>
      <c r="L32" s="1" t="s">
        <v>1801</v>
      </c>
      <c r="M32" s="30" t="s">
        <v>1802</v>
      </c>
      <c r="N32" s="31"/>
      <c r="O32" s="35"/>
      <c r="P32" s="65" t="s">
        <v>1803</v>
      </c>
      <c r="Q32" s="65" t="s">
        <v>3019</v>
      </c>
      <c r="R32" s="2" t="s">
        <v>772</v>
      </c>
      <c r="S32" s="2"/>
      <c r="T32" s="2"/>
      <c r="U32" s="2" t="str" cm="1">
        <f t="array" ref="U32">_xlfn.TEXTJOIN(", ", TRUE, IF(Y32:CG32="X", $Y$3:$CG$3, ""))</f>
        <v>Behi haragia</v>
      </c>
      <c r="V32" s="18" t="str" cm="1">
        <f t="array" ref="V32">_xlfn.TEXTJOIN(", ", TRUE, IF(Y32:CG32="X", $Y$2:$CG$2, ""))</f>
        <v>HARAGIA</v>
      </c>
      <c r="W32" s="2" t="str" cm="1">
        <f t="array" ref="W32">_xlfn.TEXTJOIN(", ", TRUE, IF(CH32:CS32="X", $CH$3:$CS$3, ""))</f>
        <v/>
      </c>
      <c r="X32" s="2" t="str" cm="1">
        <f t="array" ref="X32">_xlfn.TEXTJOIN(", ", TRUE, IF(CT32:CX32="X", $CT$3:$CX$3, ""))</f>
        <v/>
      </c>
      <c r="AJ32" s="65" t="s">
        <v>764</v>
      </c>
      <c r="CL32" s="82"/>
    </row>
    <row r="33" spans="1:103" ht="18.75" customHeight="1" x14ac:dyDescent="0.25">
      <c r="A33" s="8">
        <v>79</v>
      </c>
      <c r="B33" s="2" t="s">
        <v>1182</v>
      </c>
      <c r="C33" s="2" t="s">
        <v>1183</v>
      </c>
      <c r="D33" s="29" t="s">
        <v>1184</v>
      </c>
      <c r="E33" s="29" t="s">
        <v>1185</v>
      </c>
      <c r="F33" s="18">
        <v>27030</v>
      </c>
      <c r="G33" s="8">
        <f ca="1">DATEDIF(F33, TODAY(), "Y")</f>
        <v>52</v>
      </c>
      <c r="H33" s="2" t="s">
        <v>532</v>
      </c>
      <c r="I33" s="2" t="s">
        <v>1186</v>
      </c>
      <c r="J33" s="29"/>
      <c r="L33" s="1">
        <v>653419360</v>
      </c>
      <c r="M33" s="30" t="s">
        <v>1187</v>
      </c>
      <c r="N33" s="31"/>
      <c r="O33" s="31"/>
      <c r="P33" s="2" t="s">
        <v>3023</v>
      </c>
      <c r="Q33" s="2" t="s">
        <v>3020</v>
      </c>
      <c r="R33" s="2" t="s">
        <v>772</v>
      </c>
      <c r="S33" s="2"/>
      <c r="T33" s="2"/>
      <c r="U33" s="2" t="str" cm="1">
        <f t="array" ref="U33">_xlfn.TEXTJOIN(", ", TRUE, IF(Y33:CG33="X", $Y$3:$CG$3, ""))</f>
        <v>Behi haragia, Arrautzak</v>
      </c>
      <c r="V33" s="18" t="str" cm="1">
        <f t="array" ref="V33">_xlfn.TEXTJOIN(", ", TRUE, IF(Y33:CG33="X", $Y$2:$CG$2, ""))</f>
        <v>HARAGIA, OILOAK</v>
      </c>
      <c r="W33" s="2" t="str" cm="1">
        <f t="array" ref="W33">_xlfn.TEXTJOIN(", ", TRUE, IF(CH33:CS33="X", $CH$3:$CS$3, ""))</f>
        <v/>
      </c>
      <c r="X33" s="2" t="str" cm="1">
        <f t="array" ref="X33">_xlfn.TEXTJOIN(", ", TRUE, IF(CT33:CX33="X", $CT$3:$CX$3, ""))</f>
        <v/>
      </c>
      <c r="AJ33" s="65" t="s">
        <v>764</v>
      </c>
      <c r="AR33" s="65" t="s">
        <v>764</v>
      </c>
      <c r="CH33" s="82"/>
    </row>
    <row r="34" spans="1:103" ht="18.75" customHeight="1" x14ac:dyDescent="0.25">
      <c r="A34" s="8">
        <v>153</v>
      </c>
      <c r="B34" s="2" t="s">
        <v>1602</v>
      </c>
      <c r="C34" s="2" t="s">
        <v>1603</v>
      </c>
      <c r="D34" s="29" t="s">
        <v>1604</v>
      </c>
      <c r="E34" s="29" t="s">
        <v>1605</v>
      </c>
      <c r="F34" s="18">
        <v>17580</v>
      </c>
      <c r="G34" s="8">
        <f ca="1">DATEDIF(F34, TODAY(), "Y")</f>
        <v>78</v>
      </c>
      <c r="H34" s="2" t="s">
        <v>464</v>
      </c>
      <c r="I34" s="2" t="s">
        <v>1606</v>
      </c>
      <c r="J34" s="29"/>
      <c r="L34" s="1">
        <v>665758777</v>
      </c>
      <c r="M34" s="30" t="s">
        <v>1607</v>
      </c>
      <c r="N34" s="31"/>
      <c r="O34" s="31"/>
      <c r="P34" s="2" t="s">
        <v>3079</v>
      </c>
      <c r="Q34" s="2"/>
      <c r="R34" s="2" t="s">
        <v>1216</v>
      </c>
      <c r="S34" s="2"/>
      <c r="T34" s="2"/>
      <c r="U34" s="2" t="str" cm="1">
        <f t="array" ref="U34">_xlfn.TEXTJOIN(", ", TRUE, IF(Y34:CG34="X", $Y$3:$CG$3, ""))</f>
        <v/>
      </c>
      <c r="V34" s="18" t="str" cm="1">
        <f t="array" ref="V34">_xlfn.TEXTJOIN(", ", TRUE, IF(Y34:CG34="X", $Y$2:$CG$2, ""))</f>
        <v/>
      </c>
      <c r="W34" s="2" t="str" cm="1">
        <f t="array" ref="W34">_xlfn.TEXTJOIN(", ", TRUE, IF(CH34:CS34="X", $CH$3:$CS$3, ""))</f>
        <v/>
      </c>
      <c r="X34" s="2" t="str" cm="1">
        <f t="array" ref="X34">_xlfn.TEXTJOIN(", ", TRUE, IF(CT34:CX34="X", $CT$3:$CX$3, ""))</f>
        <v/>
      </c>
      <c r="AQ34" s="82"/>
    </row>
    <row r="35" spans="1:103" ht="18.75" customHeight="1" x14ac:dyDescent="0.25">
      <c r="A35" s="8">
        <v>238</v>
      </c>
      <c r="B35" s="2" t="s">
        <v>2091</v>
      </c>
      <c r="C35" s="2" t="s">
        <v>2092</v>
      </c>
      <c r="D35" s="29" t="s">
        <v>2093</v>
      </c>
      <c r="E35" s="29" t="s">
        <v>2094</v>
      </c>
      <c r="F35" s="18">
        <v>26902</v>
      </c>
      <c r="G35" s="8">
        <f ca="1">DATEDIF(F35, TODAY(), "Y")</f>
        <v>52</v>
      </c>
      <c r="H35" s="2" t="s">
        <v>472</v>
      </c>
      <c r="I35" s="2" t="s">
        <v>1612</v>
      </c>
      <c r="J35" s="29"/>
      <c r="L35" s="1">
        <v>606433271</v>
      </c>
      <c r="M35" s="55" t="s">
        <v>3104</v>
      </c>
      <c r="N35" s="31"/>
      <c r="O35" s="35"/>
      <c r="P35" s="65" t="s">
        <v>2095</v>
      </c>
      <c r="Q35" s="65" t="s">
        <v>3020</v>
      </c>
      <c r="R35" s="18"/>
      <c r="S35" s="18"/>
      <c r="T35" s="18"/>
      <c r="U35" s="2" t="str" cm="1">
        <f t="array" ref="U35">_xlfn.TEXTJOIN(", ", TRUE, IF(Y35:CG35="X", $Y$3:$CG$3, ""))</f>
        <v>Ardi gazta</v>
      </c>
      <c r="V35" s="18" t="str" cm="1">
        <f t="array" ref="V35">_xlfn.TEXTJOIN(", ", TRUE, IF(Y35:CG35="X", $Y$2:$CG$2, ""))</f>
        <v>ESNEKIAK</v>
      </c>
      <c r="W35" s="2" t="str" cm="1">
        <f t="array" ref="W35">_xlfn.TEXTJOIN(", ", TRUE, IF(CH35:CS35="X", $CH$3:$CS$3, ""))</f>
        <v/>
      </c>
      <c r="X35" s="2" t="str" cm="1">
        <f t="array" ref="X35">_xlfn.TEXTJOIN(", ", TRUE, IF(CT35:CX35="X", $CT$3:$CX$3, ""))</f>
        <v>DO Idiazabal, Artzai Gazta</v>
      </c>
      <c r="AC35" s="65" t="s">
        <v>764</v>
      </c>
      <c r="BW35" s="49"/>
      <c r="CH35" s="49"/>
      <c r="CW35" s="65" t="s">
        <v>764</v>
      </c>
      <c r="CX35" s="65" t="s">
        <v>764</v>
      </c>
    </row>
    <row r="36" spans="1:103" ht="18.75" customHeight="1" x14ac:dyDescent="0.25">
      <c r="A36" s="8">
        <v>396</v>
      </c>
      <c r="B36" s="8"/>
      <c r="C36" s="8"/>
      <c r="D36" s="29" t="s">
        <v>2958</v>
      </c>
      <c r="E36" s="29" t="s">
        <v>2959</v>
      </c>
      <c r="F36" s="69">
        <v>32071</v>
      </c>
      <c r="G36" s="8">
        <f ca="1">DATEDIF(F36, TODAY(), "Y")</f>
        <v>38</v>
      </c>
      <c r="H36" s="1" t="s">
        <v>749</v>
      </c>
      <c r="I36" s="1" t="s">
        <v>2839</v>
      </c>
      <c r="J36" s="73" t="s">
        <v>2932</v>
      </c>
      <c r="K36" s="74"/>
      <c r="L36" s="1">
        <v>665749137</v>
      </c>
      <c r="M36" s="30" t="s">
        <v>2840</v>
      </c>
      <c r="N36" s="31"/>
      <c r="O36" s="31"/>
      <c r="P36" s="1" t="s">
        <v>2991</v>
      </c>
      <c r="Q36" s="73" t="s">
        <v>3020</v>
      </c>
      <c r="R36" s="74" t="s">
        <v>772</v>
      </c>
      <c r="S36" s="74"/>
      <c r="T36" s="74"/>
      <c r="U36" s="2" t="str" cm="1">
        <f t="array" ref="U36">_xlfn.TEXTJOIN(", ", TRUE, IF(Y36:CG36="X", $Y$3:$CG$3, ""))</f>
        <v>Barazkiak aire librean, Barazki transformatuak, Fruta, Ogia, Opilak</v>
      </c>
      <c r="V36" s="18" t="str" cm="1">
        <f t="array" ref="V36">_xlfn.TEXTJOIN(", ", TRUE, IF(Y36:CG36="X", $Y$2:$CG$2, ""))</f>
        <v>BARAZKIAK, ERATORRIAK, FRUTA, OGIGINTZA, OGIGINTZA</v>
      </c>
      <c r="W36" s="2" t="str" cm="1">
        <f t="array" ref="W36">_xlfn.TEXTJOIN(", ", TRUE, IF(CH36:CS36="X", $CH$3:$CS$3, ""))</f>
        <v>Azokak, Etxetik, Dendetan, Kontsumo taldeak, Jangela kolektiboak</v>
      </c>
      <c r="X36" s="2" t="str" cm="1">
        <f t="array" ref="X36">_xlfn.TEXTJOIN(", ", TRUE, IF(CT36:CX36="X", $CT$3:$CX$3, ""))</f>
        <v>Ekologikoa</v>
      </c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 t="s">
        <v>764</v>
      </c>
      <c r="AT36" s="74"/>
      <c r="AU36" s="74" t="s">
        <v>764</v>
      </c>
      <c r="AV36" s="74"/>
      <c r="AW36" s="74"/>
      <c r="AX36" s="74"/>
      <c r="AY36" s="74"/>
      <c r="AZ36" s="74"/>
      <c r="BA36" s="74"/>
      <c r="BB36" s="74"/>
      <c r="BC36" s="74"/>
      <c r="BD36" s="74" t="s">
        <v>764</v>
      </c>
      <c r="BE36" s="74"/>
      <c r="BF36" s="74"/>
      <c r="BG36" s="74"/>
      <c r="BH36" s="74"/>
      <c r="BI36" s="74"/>
      <c r="BJ36" s="74"/>
      <c r="BK36" s="74"/>
      <c r="BL36" s="74"/>
      <c r="BM36" s="74"/>
      <c r="BN36" s="74"/>
      <c r="BO36" s="74"/>
      <c r="BP36" s="74"/>
      <c r="BQ36" s="74"/>
      <c r="BR36" s="74"/>
      <c r="BS36" s="74"/>
      <c r="BT36" s="74"/>
      <c r="BU36" s="74"/>
      <c r="BV36" s="74"/>
      <c r="BW36" s="74"/>
      <c r="BX36" s="74" t="s">
        <v>764</v>
      </c>
      <c r="BY36" s="74" t="s">
        <v>764</v>
      </c>
      <c r="BZ36" s="74"/>
      <c r="CA36" s="74"/>
      <c r="CB36" s="74"/>
      <c r="CC36" s="74"/>
      <c r="CD36" s="74"/>
      <c r="CE36" s="74"/>
      <c r="CF36" s="74"/>
      <c r="CG36" s="74"/>
      <c r="CH36" s="74" t="s">
        <v>764</v>
      </c>
      <c r="CI36" s="74" t="s">
        <v>764</v>
      </c>
      <c r="CJ36" s="74" t="s">
        <v>764</v>
      </c>
      <c r="CK36" s="74"/>
      <c r="CL36" s="74"/>
      <c r="CM36" s="74" t="s">
        <v>764</v>
      </c>
      <c r="CN36" s="74"/>
      <c r="CO36" s="74"/>
      <c r="CP36" s="74"/>
      <c r="CQ36" s="74" t="s">
        <v>764</v>
      </c>
      <c r="CR36" s="74"/>
      <c r="CS36" s="74"/>
      <c r="CT36" s="74" t="s">
        <v>764</v>
      </c>
      <c r="CU36" s="74"/>
      <c r="CV36" s="74"/>
      <c r="CW36" s="74"/>
      <c r="CX36" s="74"/>
    </row>
    <row r="37" spans="1:103" ht="18.75" customHeight="1" x14ac:dyDescent="0.25">
      <c r="A37" s="62"/>
      <c r="B37" s="49"/>
      <c r="C37" s="49"/>
      <c r="D37" s="29" t="s">
        <v>3038</v>
      </c>
      <c r="E37" s="29" t="s">
        <v>3095</v>
      </c>
      <c r="F37" s="66"/>
      <c r="G37" s="62"/>
      <c r="H37" s="49" t="s">
        <v>803</v>
      </c>
      <c r="I37" s="49" t="s">
        <v>3039</v>
      </c>
      <c r="J37" s="38"/>
      <c r="L37" s="1">
        <v>615783125</v>
      </c>
      <c r="M37" s="30" t="s">
        <v>3040</v>
      </c>
      <c r="N37" s="49"/>
      <c r="O37" s="49"/>
      <c r="P37" s="49" t="s">
        <v>3041</v>
      </c>
      <c r="Q37" s="49"/>
      <c r="R37" s="49"/>
      <c r="S37" s="49"/>
      <c r="T37" s="49"/>
      <c r="U37" s="2" t="str" cm="1">
        <f t="array" ref="U37">_xlfn.TEXTJOIN(", ", TRUE, IF(Y37:CG37="X", $Y$3:$CG$3, ""))</f>
        <v>Barazkiak aire librean, Sagarrak, Intxaurrak</v>
      </c>
      <c r="V37" s="18" t="str" cm="1">
        <f t="array" ref="V37">_xlfn.TEXTJOIN(", ", TRUE, IF(Y37:CG37="X", $Y$2:$CG$2, ""))</f>
        <v>BARAZKIAK, FRUTA, FRUITU LEHORRAK</v>
      </c>
      <c r="W37" s="49"/>
      <c r="X37" s="49"/>
      <c r="AS37" s="3" t="s">
        <v>764</v>
      </c>
      <c r="BF37" s="3" t="s">
        <v>764</v>
      </c>
      <c r="BO37" s="3" t="s">
        <v>764</v>
      </c>
      <c r="CL37" s="82"/>
    </row>
    <row r="38" spans="1:103" ht="18.75" customHeight="1" x14ac:dyDescent="0.25">
      <c r="A38" s="8">
        <v>401</v>
      </c>
      <c r="B38" s="8"/>
      <c r="C38" s="8"/>
      <c r="D38" s="29" t="s">
        <v>2960</v>
      </c>
      <c r="E38" s="29" t="s">
        <v>2961</v>
      </c>
      <c r="F38" s="18">
        <v>35526</v>
      </c>
      <c r="G38" s="8">
        <f ca="1">DATEDIF(F38, TODAY(), "Y")</f>
        <v>29</v>
      </c>
      <c r="H38" s="2" t="s">
        <v>457</v>
      </c>
      <c r="I38" s="2" t="s">
        <v>2849</v>
      </c>
      <c r="J38" s="29" t="s">
        <v>2941</v>
      </c>
      <c r="L38" s="1">
        <v>651560729</v>
      </c>
      <c r="M38" s="30" t="s">
        <v>2942</v>
      </c>
      <c r="N38" s="31"/>
      <c r="O38" s="33" t="s">
        <v>2943</v>
      </c>
      <c r="P38" s="2" t="s">
        <v>2850</v>
      </c>
      <c r="Q38" s="2" t="s">
        <v>3020</v>
      </c>
      <c r="R38" s="2" t="s">
        <v>772</v>
      </c>
      <c r="S38" s="2" t="s">
        <v>2944</v>
      </c>
      <c r="T38" s="2"/>
      <c r="U38" s="2" t="str" cm="1">
        <f t="array" ref="U38">_xlfn.TEXTJOIN(", ", TRUE, IF(Y38:CG38="X", $Y$3:$CG$3, ""))</f>
        <v>Barazkiak aire librean, Barazkiak negutegian</v>
      </c>
      <c r="V38" s="18" t="str" cm="1">
        <f t="array" ref="V38">_xlfn.TEXTJOIN(", ", TRUE, IF(Y38:CG38="X", $Y$2:$CG$2, ""))</f>
        <v>BARAZKIAK, BARAZKIAK</v>
      </c>
      <c r="W38" s="2" t="str" cm="1">
        <f t="array" ref="W38">_xlfn.TEXTJOIN(", ", TRUE, IF(CH38:CS38="X", $CH$3:$CS$3, ""))</f>
        <v>Kontsumo taldeak</v>
      </c>
      <c r="X38" s="2" t="str" cm="1">
        <f t="array" ref="X38">_xlfn.TEXTJOIN(", ", TRUE, IF(CT38:CX38="X", $CT$3:$CX$3, ""))</f>
        <v>Ekologikoa</v>
      </c>
      <c r="AS38" s="65" t="s">
        <v>764</v>
      </c>
      <c r="AT38" s="3" t="s">
        <v>764</v>
      </c>
      <c r="CM38" s="3" t="s">
        <v>764</v>
      </c>
      <c r="CT38" s="65" t="s">
        <v>764</v>
      </c>
    </row>
    <row r="39" spans="1:103" ht="18.75" customHeight="1" x14ac:dyDescent="0.25">
      <c r="A39" s="8">
        <v>428</v>
      </c>
      <c r="B39" s="49"/>
      <c r="C39" s="49"/>
      <c r="D39" s="29"/>
      <c r="E39" s="29"/>
      <c r="F39" s="66"/>
      <c r="G39" s="8">
        <f ca="1">DATEDIF(F39, TODAY(), "Y")</f>
        <v>126</v>
      </c>
      <c r="H39" s="2" t="s">
        <v>476</v>
      </c>
      <c r="I39" s="2" t="s">
        <v>2904</v>
      </c>
      <c r="J39" s="29"/>
      <c r="L39" s="1" t="s">
        <v>2905</v>
      </c>
      <c r="M39" s="30" t="s">
        <v>2906</v>
      </c>
      <c r="N39" s="31"/>
      <c r="O39" s="31"/>
      <c r="P39" s="2" t="s">
        <v>2907</v>
      </c>
      <c r="Q39" s="2" t="s">
        <v>3019</v>
      </c>
      <c r="R39" s="2" t="s">
        <v>1216</v>
      </c>
      <c r="S39" s="2"/>
      <c r="T39" s="2"/>
      <c r="U39" s="2" t="str" cm="1">
        <f t="array" ref="U39">_xlfn.TEXTJOIN(", ", TRUE, IF(Y39:CG39="X", $Y$3:$CG$3, ""))</f>
        <v>Arrautzak, Barazkiak aire librean, Piperminak, Mermelada, Fruta, Pastak</v>
      </c>
      <c r="V39" s="18" t="str" cm="1">
        <f t="array" ref="V39">_xlfn.TEXTJOIN(", ", TRUE, IF(Y39:CG39="X", $Y$2:$CG$2, ""))</f>
        <v>OILOAK, BARAZKIAK, ERATORRIAK, ERATORRIAK, FRUTA, OGIGINTZA</v>
      </c>
      <c r="W39" s="2" t="str" cm="1">
        <f t="array" ref="W39">_xlfn.TEXTJOIN(", ", TRUE, IF(CH39:CS39="X", $CH$3:$CS$3, ""))</f>
        <v>Azokak, Bertatik Bertara</v>
      </c>
      <c r="X39" s="2" t="str" cm="1">
        <f t="array" ref="X39">_xlfn.TEXTJOIN(", ", TRUE, IF(CT39:CX39="X", $CT$3:$CX$3, ""))</f>
        <v/>
      </c>
      <c r="AR39" s="65" t="s">
        <v>764</v>
      </c>
      <c r="AS39" s="65" t="s">
        <v>764</v>
      </c>
      <c r="AW39" s="65" t="s">
        <v>764</v>
      </c>
      <c r="AX39" s="65" t="s">
        <v>764</v>
      </c>
      <c r="BD39" s="65" t="s">
        <v>764</v>
      </c>
      <c r="CA39" s="65" t="s">
        <v>764</v>
      </c>
      <c r="CH39" s="65" t="s">
        <v>764</v>
      </c>
      <c r="CR39" s="65" t="s">
        <v>764</v>
      </c>
    </row>
    <row r="40" spans="1:103" ht="18.75" customHeight="1" x14ac:dyDescent="0.25">
      <c r="A40" s="8">
        <v>172</v>
      </c>
      <c r="B40" s="2" t="s">
        <v>1716</v>
      </c>
      <c r="C40" s="2" t="s">
        <v>1717</v>
      </c>
      <c r="D40" s="29" t="s">
        <v>1718</v>
      </c>
      <c r="E40" s="29" t="s">
        <v>1719</v>
      </c>
      <c r="F40" s="18">
        <v>23651</v>
      </c>
      <c r="G40" s="8">
        <f ca="1">DATEDIF(F40, TODAY(), "Y")</f>
        <v>61</v>
      </c>
      <c r="H40" s="2" t="s">
        <v>468</v>
      </c>
      <c r="I40" s="2" t="s">
        <v>1720</v>
      </c>
      <c r="J40" s="29"/>
      <c r="L40" s="1" t="s">
        <v>1721</v>
      </c>
      <c r="M40" s="30" t="s">
        <v>1722</v>
      </c>
      <c r="N40" s="31"/>
      <c r="O40" s="35"/>
      <c r="P40" s="65" t="s">
        <v>1723</v>
      </c>
      <c r="Q40" s="65" t="s">
        <v>3020</v>
      </c>
      <c r="R40" s="2" t="s">
        <v>772</v>
      </c>
      <c r="S40" s="2"/>
      <c r="T40" s="2"/>
      <c r="U40" s="2" t="str" cm="1">
        <f t="array" ref="U40">_xlfn.TEXTJOIN(", ", TRUE, IF(Y40:CG40="X", $Y$3:$CG$3, ""))</f>
        <v>Ardi esnea, Ardi haragia, Arrautzak</v>
      </c>
      <c r="V40" s="18" t="str" cm="1">
        <f t="array" ref="V40">_xlfn.TEXTJOIN(", ", TRUE, IF(Y40:CG40="X", $Y$2:$CG$2, ""))</f>
        <v>ESNEKIAK, HARAGIA, OILOAK</v>
      </c>
      <c r="W40" s="2" t="str" cm="1">
        <f t="array" ref="W40">_xlfn.TEXTJOIN(", ", TRUE, IF(CH40:CS40="X", $CH$3:$CS$3, ""))</f>
        <v>Harategian, Bertatik Bertara</v>
      </c>
      <c r="X40" s="2" t="str" cm="1">
        <f t="array" ref="X40">_xlfn.TEXTJOIN(", ", TRUE, IF(CT40:CX40="X", $CT$3:$CX$3, ""))</f>
        <v/>
      </c>
      <c r="Z40" s="65" t="s">
        <v>764</v>
      </c>
      <c r="AK40" s="65" t="s">
        <v>764</v>
      </c>
      <c r="AR40" s="65" t="s">
        <v>764</v>
      </c>
      <c r="CL40" s="65" t="s">
        <v>764</v>
      </c>
      <c r="CR40" s="65" t="s">
        <v>764</v>
      </c>
    </row>
    <row r="41" spans="1:103" ht="18.75" customHeight="1" x14ac:dyDescent="0.25">
      <c r="A41" s="8">
        <v>427</v>
      </c>
      <c r="B41" s="49"/>
      <c r="C41" s="49"/>
      <c r="D41" s="29"/>
      <c r="E41" s="29"/>
      <c r="F41" s="71" t="s">
        <v>2987</v>
      </c>
      <c r="G41" s="8">
        <f ca="1">DATEDIF(F41, TODAY(), "Y")</f>
        <v>46</v>
      </c>
      <c r="H41" s="2" t="s">
        <v>605</v>
      </c>
      <c r="I41" s="49"/>
      <c r="J41" s="38"/>
      <c r="L41" s="1">
        <v>656776967</v>
      </c>
      <c r="M41" s="30" t="s">
        <v>2988</v>
      </c>
      <c r="N41" s="31"/>
      <c r="O41" s="31"/>
      <c r="P41" s="2" t="s">
        <v>2903</v>
      </c>
      <c r="Q41" s="2" t="s">
        <v>3019</v>
      </c>
      <c r="R41" s="49"/>
      <c r="S41" s="49"/>
      <c r="T41" s="49"/>
      <c r="U41" s="2" t="str" cm="1">
        <f t="array" ref="U41">_xlfn.TEXTJOIN(", ", TRUE, IF(Y41:CG41="X", $Y$3:$CG$3, ""))</f>
        <v>Mahastiak</v>
      </c>
      <c r="V41" s="18" t="str" cm="1">
        <f t="array" ref="V41">_xlfn.TEXTJOIN(", ", TRUE, IF(Y41:CG41="X", $Y$2:$CG$2, ""))</f>
        <v>0</v>
      </c>
      <c r="W41" s="2" t="str" cm="1">
        <f t="array" ref="W41">_xlfn.TEXTJOIN(", ", TRUE, IF(CH41:CS41="X", $CH$3:$CS$3, ""))</f>
        <v/>
      </c>
      <c r="X41" s="2" t="str" cm="1">
        <f t="array" ref="X41">_xlfn.TEXTJOIN(", ", TRUE, IF(CT41:CX41="X", $CT$3:$CX$3, ""))</f>
        <v>Ekologikoa</v>
      </c>
      <c r="BN41" s="65" t="s">
        <v>764</v>
      </c>
      <c r="BW41" s="82"/>
      <c r="CH41" s="82"/>
      <c r="CT41" s="65" t="s">
        <v>764</v>
      </c>
    </row>
    <row r="42" spans="1:103" ht="18.75" customHeight="1" x14ac:dyDescent="0.25">
      <c r="A42" s="8">
        <v>96</v>
      </c>
      <c r="B42" s="2" t="s">
        <v>1279</v>
      </c>
      <c r="C42" s="2" t="s">
        <v>1280</v>
      </c>
      <c r="D42" s="29" t="s">
        <v>1281</v>
      </c>
      <c r="E42" s="29" t="s">
        <v>1282</v>
      </c>
      <c r="F42" s="18">
        <v>21852</v>
      </c>
      <c r="G42" s="8">
        <f ca="1">DATEDIF(F42, TODAY(), "Y")</f>
        <v>66</v>
      </c>
      <c r="H42" s="2" t="s">
        <v>532</v>
      </c>
      <c r="I42" s="2" t="s">
        <v>1283</v>
      </c>
      <c r="J42" s="29"/>
      <c r="L42" s="1" t="s">
        <v>1284</v>
      </c>
      <c r="M42" s="30" t="s">
        <v>1285</v>
      </c>
      <c r="N42" s="31"/>
      <c r="O42" s="31"/>
      <c r="P42" s="2" t="s">
        <v>1286</v>
      </c>
      <c r="Q42" s="2" t="s">
        <v>3019</v>
      </c>
      <c r="R42" s="2" t="s">
        <v>772</v>
      </c>
      <c r="S42" s="2"/>
      <c r="T42" s="2"/>
      <c r="U42" s="2" t="str" cm="1">
        <f t="array" ref="U42">_xlfn.TEXTJOIN(", ", TRUE, IF(Y42:CG42="X", $Y$3:$CG$3, ""))</f>
        <v>Behi haragia, Ardi haragia, Barazkiak aire librean, Babarrunak, Fruta, Sagarrak, Kiwia, Intxaurrak</v>
      </c>
      <c r="V42" s="18" t="str" cm="1">
        <f t="array" ref="V42">_xlfn.TEXTJOIN(", ", TRUE, IF(Y42:CG42="X", $Y$2:$CG$2, ""))</f>
        <v>HARAGIA, HARAGIA, BARAZKIAK, LEKALEAK, FRUTA, FRUTA, FRUTA, FRUITU LEHORRAK</v>
      </c>
      <c r="W42" s="2" t="str" cm="1">
        <f t="array" ref="W42">_xlfn.TEXTJOIN(", ", TRUE, IF(CH42:CS42="X", $CH$3:$CS$3, ""))</f>
        <v>Bertatik Bertara</v>
      </c>
      <c r="X42" s="2" t="str" cm="1">
        <f t="array" ref="X42">_xlfn.TEXTJOIN(", ", TRUE, IF(CT42:CX42="X", $CT$3:$CX$3, ""))</f>
        <v/>
      </c>
      <c r="AJ42" s="65" t="s">
        <v>764</v>
      </c>
      <c r="AK42" s="65" t="s">
        <v>764</v>
      </c>
      <c r="AS42" s="65" t="s">
        <v>764</v>
      </c>
      <c r="AZ42" s="65" t="s">
        <v>764</v>
      </c>
      <c r="BD42" s="65" t="s">
        <v>764</v>
      </c>
      <c r="BF42" s="65" t="s">
        <v>764</v>
      </c>
      <c r="BJ42" s="65" t="s">
        <v>764</v>
      </c>
      <c r="BO42" s="65" t="s">
        <v>764</v>
      </c>
      <c r="CR42" s="65" t="s">
        <v>764</v>
      </c>
    </row>
    <row r="43" spans="1:103" ht="18.75" customHeight="1" x14ac:dyDescent="0.25">
      <c r="A43" s="8">
        <v>176</v>
      </c>
      <c r="B43" s="2" t="s">
        <v>1739</v>
      </c>
      <c r="C43" s="2" t="s">
        <v>1740</v>
      </c>
      <c r="D43" s="29" t="s">
        <v>1741</v>
      </c>
      <c r="E43" s="29" t="s">
        <v>1742</v>
      </c>
      <c r="F43" s="18">
        <v>22847</v>
      </c>
      <c r="G43" s="8">
        <f ca="1">DATEDIF(F43, TODAY(), "Y")</f>
        <v>64</v>
      </c>
      <c r="H43" s="2" t="s">
        <v>468</v>
      </c>
      <c r="I43" s="2" t="s">
        <v>1743</v>
      </c>
      <c r="J43" s="29"/>
      <c r="K43" s="3" t="s">
        <v>3081</v>
      </c>
      <c r="L43" s="1" t="s">
        <v>1744</v>
      </c>
      <c r="M43" s="30" t="s">
        <v>1745</v>
      </c>
      <c r="N43" s="31"/>
      <c r="O43" s="31"/>
      <c r="P43" s="2" t="s">
        <v>1746</v>
      </c>
      <c r="Q43" s="2" t="s">
        <v>3019</v>
      </c>
      <c r="R43" s="2" t="s">
        <v>1216</v>
      </c>
      <c r="S43" s="2"/>
      <c r="T43" s="2"/>
      <c r="U43" s="2" t="str" cm="1">
        <f t="array" ref="U43">_xlfn.TEXTJOIN(", ", TRUE, IF(Y43:CG43="X", $Y$3:$CG$3, ""))</f>
        <v>Ardi gazta, Ardi haragia, Fruta</v>
      </c>
      <c r="V43" s="18" t="str" cm="1">
        <f t="array" ref="V43">_xlfn.TEXTJOIN(", ", TRUE, IF(Y43:CG43="X", $Y$2:$CG$2, ""))</f>
        <v>ESNEKIAK, HARAGIA, FRUTA</v>
      </c>
      <c r="W43" s="2" t="str" cm="1">
        <f t="array" ref="W43">_xlfn.TEXTJOIN(", ", TRUE, IF(CH43:CS43="X", $CH$3:$CS$3, ""))</f>
        <v>Etxetik, Dendetan, Jatetxeetara, Harategian, Bertatik Bertara</v>
      </c>
      <c r="X43" s="2" t="str" cm="1">
        <f t="array" ref="X43">_xlfn.TEXTJOIN(", ", TRUE, IF(CT43:CX43="X", $CT$3:$CX$3, ""))</f>
        <v>DO Idiazabal, Artzai Gazta</v>
      </c>
      <c r="AC43" s="65" t="s">
        <v>764</v>
      </c>
      <c r="AK43" s="65" t="s">
        <v>764</v>
      </c>
      <c r="BD43" s="65" t="s">
        <v>764</v>
      </c>
      <c r="CI43" s="65" t="s">
        <v>764</v>
      </c>
      <c r="CJ43" s="65" t="s">
        <v>764</v>
      </c>
      <c r="CK43" s="65" t="s">
        <v>764</v>
      </c>
      <c r="CL43" s="65" t="s">
        <v>764</v>
      </c>
      <c r="CR43" s="65" t="s">
        <v>764</v>
      </c>
      <c r="CW43" s="65" t="s">
        <v>764</v>
      </c>
      <c r="CX43" s="65" t="s">
        <v>764</v>
      </c>
      <c r="CY43" s="3" t="s">
        <v>3022</v>
      </c>
    </row>
    <row r="44" spans="1:103" ht="18.75" customHeight="1" x14ac:dyDescent="0.25">
      <c r="A44" s="62"/>
      <c r="B44" s="49"/>
      <c r="C44" s="49"/>
      <c r="D44" s="29" t="s">
        <v>3127</v>
      </c>
      <c r="E44" s="29" t="s">
        <v>3128</v>
      </c>
      <c r="F44" s="66"/>
      <c r="G44" s="62"/>
      <c r="H44" s="49"/>
      <c r="I44" s="49" t="s">
        <v>3111</v>
      </c>
      <c r="J44" s="38"/>
      <c r="L44" s="1">
        <v>943725129</v>
      </c>
      <c r="M44" s="55" t="s">
        <v>3110</v>
      </c>
      <c r="N44" s="49"/>
      <c r="O44" s="49"/>
      <c r="P44" s="49" t="s">
        <v>3112</v>
      </c>
      <c r="Q44" s="49"/>
      <c r="R44" s="49"/>
      <c r="S44" s="49"/>
      <c r="T44" s="49"/>
      <c r="U44" s="2" t="str" cm="1">
        <f t="array" ref="U44">_xlfn.TEXTJOIN(", ", TRUE, IF(Y44:CG44="X", $Y$3:$CG$3, ""))</f>
        <v>Ardi gazta</v>
      </c>
      <c r="V44" s="18" t="str" cm="1">
        <f t="array" ref="V44">_xlfn.TEXTJOIN(", ", TRUE, IF(Y44:CG44="X", $Y$2:$CG$2, ""))</f>
        <v>ESNEKIAK</v>
      </c>
      <c r="W44" s="49"/>
      <c r="X44" s="49"/>
      <c r="AC44" s="3" t="s">
        <v>764</v>
      </c>
    </row>
    <row r="45" spans="1:103" ht="18.75" customHeight="1" x14ac:dyDescent="0.25">
      <c r="A45" s="8">
        <v>59</v>
      </c>
      <c r="B45" s="2" t="s">
        <v>1071</v>
      </c>
      <c r="C45" s="2" t="s">
        <v>1072</v>
      </c>
      <c r="D45" s="29" t="s">
        <v>1073</v>
      </c>
      <c r="E45" s="29" t="s">
        <v>1074</v>
      </c>
      <c r="F45" s="18"/>
      <c r="G45" s="8">
        <f ca="1">DATEDIF(F45, TODAY(), "Y")</f>
        <v>126</v>
      </c>
      <c r="H45" s="2" t="s">
        <v>457</v>
      </c>
      <c r="I45" s="2" t="s">
        <v>1075</v>
      </c>
      <c r="J45" s="29"/>
      <c r="L45" s="1">
        <v>688890477</v>
      </c>
      <c r="M45" s="30" t="s">
        <v>1076</v>
      </c>
      <c r="N45" s="31"/>
      <c r="O45" s="31"/>
      <c r="P45" s="2" t="s">
        <v>1075</v>
      </c>
      <c r="Q45" s="2"/>
      <c r="R45" s="49"/>
      <c r="S45" s="49"/>
      <c r="T45" s="49"/>
      <c r="U45" s="2" t="str" cm="1">
        <f t="array" ref="U45">_xlfn.TEXTJOIN(", ", TRUE, IF(Y45:CG45="X", $Y$3:$CG$3, ""))</f>
        <v/>
      </c>
      <c r="V45" s="18" t="str" cm="1">
        <f t="array" ref="V45">_xlfn.TEXTJOIN(", ", TRUE, IF(Y45:CG45="X", $Y$2:$CG$2, ""))</f>
        <v/>
      </c>
      <c r="W45" s="2" t="str" cm="1">
        <f t="array" ref="W45">_xlfn.TEXTJOIN(", ", TRUE, IF(CH45:CS45="X", $CH$3:$CS$3, ""))</f>
        <v/>
      </c>
      <c r="X45" s="2" t="str" cm="1">
        <f t="array" ref="X45">_xlfn.TEXTJOIN(", ", TRUE, IF(CT45:CX45="X", $CT$3:$CX$3, ""))</f>
        <v/>
      </c>
    </row>
    <row r="46" spans="1:103" ht="18.75" customHeight="1" x14ac:dyDescent="0.25">
      <c r="A46" s="8">
        <v>402</v>
      </c>
      <c r="B46" s="49"/>
      <c r="C46" s="2"/>
      <c r="D46" s="29"/>
      <c r="E46" s="29"/>
      <c r="F46" s="18"/>
      <c r="G46" s="8">
        <f ca="1">DATEDIF(F46, TODAY(), "Y")</f>
        <v>126</v>
      </c>
      <c r="H46" s="2" t="s">
        <v>2851</v>
      </c>
      <c r="I46" s="2" t="s">
        <v>2852</v>
      </c>
      <c r="J46" s="29"/>
      <c r="L46" s="1">
        <v>722504540</v>
      </c>
      <c r="M46" s="30" t="s">
        <v>2853</v>
      </c>
      <c r="N46" s="31"/>
      <c r="O46" s="31"/>
      <c r="P46" s="2" t="s">
        <v>2854</v>
      </c>
      <c r="Q46" s="2" t="s">
        <v>3019</v>
      </c>
      <c r="R46" s="2" t="s">
        <v>772</v>
      </c>
      <c r="S46" s="2"/>
      <c r="T46" s="2"/>
      <c r="U46" s="2" t="str" cm="1">
        <f t="array" ref="U46">_xlfn.TEXTJOIN(", ", TRUE, IF(Y46:CG46="X", $Y$3:$CG$3, ""))</f>
        <v>Barazkiak aire librean, Barazkiak negutegian, Babarrunak, Fruta, Kiwia, Intxaurrak, Zukuak</v>
      </c>
      <c r="V46" s="18" t="str" cm="1">
        <f t="array" ref="V46">_xlfn.TEXTJOIN(", ", TRUE, IF(Y46:CG46="X", $Y$2:$CG$2, ""))</f>
        <v>BARAZKIAK, BARAZKIAK, LEKALEAK, FRUTA, FRUTA, FRUITU LEHORRAK, EDARIAK</v>
      </c>
      <c r="W46" s="2" t="str" cm="1">
        <f t="array" ref="W46">_xlfn.TEXTJOIN(", ", TRUE, IF(CH46:CS46="X", $CH$3:$CS$3, ""))</f>
        <v>Azokak, Kontsumo taldeak, Online, Biziola</v>
      </c>
      <c r="X46" s="2" t="str" cm="1">
        <f t="array" ref="X46">_xlfn.TEXTJOIN(", ", TRUE, IF(CT46:CX46="X", $CT$3:$CX$3, ""))</f>
        <v>Ekologikoa</v>
      </c>
      <c r="AS46" s="65" t="s">
        <v>764</v>
      </c>
      <c r="AT46" s="65" t="s">
        <v>764</v>
      </c>
      <c r="AZ46" s="65" t="s">
        <v>764</v>
      </c>
      <c r="BD46" s="2" t="s">
        <v>764</v>
      </c>
      <c r="BJ46" s="65" t="s">
        <v>764</v>
      </c>
      <c r="BO46" s="65" t="s">
        <v>764</v>
      </c>
      <c r="CF46" s="65" t="s">
        <v>764</v>
      </c>
      <c r="CH46" s="65" t="s">
        <v>764</v>
      </c>
      <c r="CM46" s="65" t="s">
        <v>764</v>
      </c>
      <c r="CO46" s="65" t="s">
        <v>764</v>
      </c>
      <c r="CP46" s="65" t="s">
        <v>764</v>
      </c>
      <c r="CQ46" s="65"/>
      <c r="CT46" s="2" t="s">
        <v>764</v>
      </c>
    </row>
    <row r="47" spans="1:103" ht="18.75" customHeight="1" x14ac:dyDescent="0.25">
      <c r="A47" s="8">
        <v>327</v>
      </c>
      <c r="B47" s="2" t="s">
        <v>2587</v>
      </c>
      <c r="C47" s="2" t="s">
        <v>2588</v>
      </c>
      <c r="D47" s="29" t="s">
        <v>2589</v>
      </c>
      <c r="E47" s="29" t="s">
        <v>2590</v>
      </c>
      <c r="F47" s="18"/>
      <c r="G47" s="8">
        <f ca="1">DATEDIF(F47, TODAY(), "Y")</f>
        <v>126</v>
      </c>
      <c r="H47" s="2" t="s">
        <v>605</v>
      </c>
      <c r="I47" s="2" t="s">
        <v>2591</v>
      </c>
      <c r="J47" s="29"/>
      <c r="L47" s="1">
        <v>652732913</v>
      </c>
      <c r="M47" s="30" t="s">
        <v>2592</v>
      </c>
      <c r="N47" s="31"/>
      <c r="O47" s="31"/>
      <c r="P47" s="2" t="s">
        <v>2593</v>
      </c>
      <c r="Q47" s="2" t="s">
        <v>3021</v>
      </c>
      <c r="R47" s="49"/>
      <c r="S47" s="49"/>
      <c r="T47" s="49"/>
      <c r="U47" s="2" t="str" cm="1">
        <f t="array" ref="U47">_xlfn.TEXTJOIN(", ", TRUE, IF(Y47:CG47="X", $Y$3:$CG$3, ""))</f>
        <v>Ardi gazta</v>
      </c>
      <c r="V47" s="18" t="str" cm="1">
        <f t="array" ref="V47">_xlfn.TEXTJOIN(", ", TRUE, IF(Y47:CG47="X", $Y$2:$CG$2, ""))</f>
        <v>ESNEKIAK</v>
      </c>
      <c r="W47" s="2" t="str" cm="1">
        <f t="array" ref="W47">_xlfn.TEXTJOIN(", ", TRUE, IF(CH47:CS47="X", $CH$3:$CS$3, ""))</f>
        <v/>
      </c>
      <c r="X47" s="2" t="str" cm="1">
        <f t="array" ref="X47">_xlfn.TEXTJOIN(", ", TRUE, IF(CT47:CX47="X", $CT$3:$CX$3, ""))</f>
        <v>DO Idiazabal, Artzai Gazta</v>
      </c>
      <c r="AC47" s="65" t="s">
        <v>764</v>
      </c>
      <c r="CW47" s="65" t="s">
        <v>764</v>
      </c>
      <c r="CX47" s="65" t="s">
        <v>764</v>
      </c>
    </row>
    <row r="48" spans="1:103" ht="18.75" customHeight="1" x14ac:dyDescent="0.25">
      <c r="A48" s="8">
        <v>320</v>
      </c>
      <c r="B48" s="2" t="s">
        <v>2547</v>
      </c>
      <c r="C48" s="2" t="s">
        <v>2548</v>
      </c>
      <c r="D48" s="29" t="s">
        <v>2549</v>
      </c>
      <c r="E48" s="29" t="s">
        <v>2550</v>
      </c>
      <c r="F48" s="18"/>
      <c r="G48" s="8">
        <f ca="1">DATEDIF(F48, TODAY(), "Y")</f>
        <v>126</v>
      </c>
      <c r="H48" s="2" t="s">
        <v>605</v>
      </c>
      <c r="I48" s="2" t="s">
        <v>2551</v>
      </c>
      <c r="J48" s="29"/>
      <c r="K48" s="65" t="s">
        <v>2552</v>
      </c>
      <c r="L48" s="1">
        <v>652738291</v>
      </c>
      <c r="M48" s="30" t="s">
        <v>2553</v>
      </c>
      <c r="N48" s="31"/>
      <c r="O48" s="31"/>
      <c r="P48" s="2" t="s">
        <v>2554</v>
      </c>
      <c r="Q48" s="2" t="s">
        <v>3021</v>
      </c>
      <c r="R48" s="2" t="s">
        <v>772</v>
      </c>
      <c r="S48" s="2"/>
      <c r="T48" s="2"/>
      <c r="U48" s="2" t="str" cm="1">
        <f t="array" ref="U48">_xlfn.TEXTJOIN(", ", TRUE, IF(Y48:CG48="X", $Y$3:$CG$3, ""))</f>
        <v>Ardi gazta</v>
      </c>
      <c r="V48" s="18" t="str" cm="1">
        <f t="array" ref="V48">_xlfn.TEXTJOIN(", ", TRUE, IF(Y48:CG48="X", $Y$2:$CG$2, ""))</f>
        <v>ESNEKIAK</v>
      </c>
      <c r="W48" s="2" t="str" cm="1">
        <f t="array" ref="W48">_xlfn.TEXTJOIN(", ", TRUE, IF(CH48:CS48="X", $CH$3:$CS$3, ""))</f>
        <v/>
      </c>
      <c r="X48" s="2" t="str" cm="1">
        <f t="array" ref="X48">_xlfn.TEXTJOIN(", ", TRUE, IF(CT48:CX48="X", $CT$3:$CX$3, ""))</f>
        <v>DO Idiazabal, Artzai Gazta</v>
      </c>
      <c r="AC48" s="65" t="s">
        <v>764</v>
      </c>
      <c r="CW48" s="65" t="s">
        <v>764</v>
      </c>
      <c r="CX48" s="65" t="s">
        <v>764</v>
      </c>
    </row>
    <row r="49" spans="1:102" ht="18.75" customHeight="1" x14ac:dyDescent="0.25">
      <c r="A49" s="8">
        <v>194</v>
      </c>
      <c r="B49" s="2" t="s">
        <v>1848</v>
      </c>
      <c r="C49" s="2" t="s">
        <v>1849</v>
      </c>
      <c r="D49" s="29" t="s">
        <v>1850</v>
      </c>
      <c r="E49" s="29" t="s">
        <v>1851</v>
      </c>
      <c r="F49" s="18">
        <v>29349</v>
      </c>
      <c r="G49" s="8">
        <f ca="1">DATEDIF(F49, TODAY(), "Y")</f>
        <v>46</v>
      </c>
      <c r="H49" s="2" t="s">
        <v>468</v>
      </c>
      <c r="I49" s="2" t="s">
        <v>1852</v>
      </c>
      <c r="J49" s="29"/>
      <c r="L49" s="1">
        <v>635009074</v>
      </c>
      <c r="M49" s="30" t="s">
        <v>1853</v>
      </c>
      <c r="N49" s="31"/>
      <c r="O49" s="31"/>
      <c r="P49" s="2" t="s">
        <v>1854</v>
      </c>
      <c r="Q49" s="29" t="s">
        <v>3020</v>
      </c>
      <c r="R49" s="65" t="s">
        <v>1216</v>
      </c>
      <c r="S49" s="65"/>
      <c r="T49" s="65"/>
      <c r="U49" s="2" t="str" cm="1">
        <f t="array" ref="U49">_xlfn.TEXTJOIN(", ", TRUE, IF(Y49:CG49="X", $Y$3:$CG$3, ""))</f>
        <v>Barazkiak aire librean, Mermelada, Fruta, Sagarrak</v>
      </c>
      <c r="V49" s="18" t="str" cm="1">
        <f t="array" ref="V49">_xlfn.TEXTJOIN(", ", TRUE, IF(Y49:CG49="X", $Y$2:$CG$2, ""))</f>
        <v>BARAZKIAK, ERATORRIAK, FRUTA, FRUTA</v>
      </c>
      <c r="W49" s="2" t="str" cm="1">
        <f t="array" ref="W49">_xlfn.TEXTJOIN(", ", TRUE, IF(CH49:CS49="X", $CH$3:$CS$3, ""))</f>
        <v>Bertatik Bertara</v>
      </c>
      <c r="X49" s="2" t="str" cm="1">
        <f t="array" ref="X49">_xlfn.TEXTJOIN(", ", TRUE, IF(CT49:CX49="X", $CT$3:$CX$3, ""))</f>
        <v/>
      </c>
      <c r="AS49" s="65" t="s">
        <v>764</v>
      </c>
      <c r="AX49" s="65" t="s">
        <v>764</v>
      </c>
      <c r="BD49" s="65" t="s">
        <v>764</v>
      </c>
      <c r="BF49" s="65" t="s">
        <v>764</v>
      </c>
      <c r="CR49" s="65" t="s">
        <v>764</v>
      </c>
    </row>
    <row r="50" spans="1:102" ht="18.75" customHeight="1" x14ac:dyDescent="0.25">
      <c r="A50" s="8">
        <v>407</v>
      </c>
      <c r="B50" s="49"/>
      <c r="C50" s="49"/>
      <c r="D50" s="29" t="s">
        <v>3121</v>
      </c>
      <c r="E50" s="29" t="s">
        <v>3122</v>
      </c>
      <c r="F50" s="66"/>
      <c r="G50" s="8">
        <f ca="1">DATEDIF(F50, TODAY(), "Y")</f>
        <v>126</v>
      </c>
      <c r="H50" s="2" t="s">
        <v>532</v>
      </c>
      <c r="I50" s="49" t="s">
        <v>3054</v>
      </c>
      <c r="J50" s="38"/>
      <c r="L50" s="1" t="s">
        <v>3056</v>
      </c>
      <c r="M50" s="30" t="s">
        <v>3055</v>
      </c>
      <c r="N50" s="31"/>
      <c r="O50" s="55" t="s">
        <v>3057</v>
      </c>
      <c r="P50" s="2" t="s">
        <v>2864</v>
      </c>
      <c r="Q50" s="2" t="s">
        <v>3020</v>
      </c>
      <c r="R50" s="49"/>
      <c r="S50" s="49"/>
      <c r="T50" s="49"/>
      <c r="U50" s="2" t="str" cm="1">
        <f t="array" ref="U50">_xlfn.TEXTJOIN(", ", TRUE, IF(Y50:CG50="X", $Y$3:$CG$3, ""))</f>
        <v>Ogia, Pastak</v>
      </c>
      <c r="V50" s="18" t="str" cm="1">
        <f t="array" ref="V50">_xlfn.TEXTJOIN(", ", TRUE, IF(Y50:CG50="X", $Y$2:$CG$2, ""))</f>
        <v>OGIGINTZA, OGIGINTZA</v>
      </c>
      <c r="W50" s="2" t="str" cm="1">
        <f t="array" ref="W50">_xlfn.TEXTJOIN(", ", TRUE, IF(CH50:CS50="X", $CH$3:$CS$3, ""))</f>
        <v/>
      </c>
      <c r="X50" s="2" t="str" cm="1">
        <f t="array" ref="X50">_xlfn.TEXTJOIN(", ", TRUE, IF(CT50:CX50="X", $CT$3:$CX$3, ""))</f>
        <v>Ekologikoa</v>
      </c>
      <c r="BD50" s="82"/>
      <c r="BX50" s="65" t="s">
        <v>764</v>
      </c>
      <c r="BY50" s="65"/>
      <c r="CA50" s="3" t="s">
        <v>764</v>
      </c>
      <c r="CT50" s="65" t="s">
        <v>764</v>
      </c>
    </row>
    <row r="51" spans="1:102" ht="18.75" customHeight="1" x14ac:dyDescent="0.25">
      <c r="A51" s="8">
        <v>361</v>
      </c>
      <c r="B51" s="2" t="s">
        <v>2752</v>
      </c>
      <c r="C51" s="2" t="s">
        <v>2753</v>
      </c>
      <c r="D51" s="29" t="s">
        <v>2754</v>
      </c>
      <c r="E51" s="29" t="s">
        <v>2755</v>
      </c>
      <c r="F51" s="18"/>
      <c r="G51" s="8">
        <f ca="1">DATEDIF(F51, TODAY(), "Y")</f>
        <v>126</v>
      </c>
      <c r="H51" s="2" t="s">
        <v>1452</v>
      </c>
      <c r="I51" s="2" t="s">
        <v>2756</v>
      </c>
      <c r="J51" s="29"/>
      <c r="L51" s="1"/>
      <c r="M51" s="30" t="s">
        <v>3060</v>
      </c>
      <c r="N51" s="31"/>
      <c r="O51" s="31"/>
      <c r="P51" s="49"/>
      <c r="Q51" s="38"/>
      <c r="R51" s="82"/>
      <c r="S51" s="82"/>
      <c r="T51" s="82"/>
      <c r="U51" s="2" t="str" cm="1">
        <f t="array" ref="U51">_xlfn.TEXTJOIN(", ", TRUE, IF(Y51:CG51="X", $Y$3:$CG$3, ""))</f>
        <v>Arrautzak</v>
      </c>
      <c r="V51" s="18" t="str" cm="1">
        <f t="array" ref="V51">_xlfn.TEXTJOIN(", ", TRUE, IF(Y51:CG51="X", $Y$2:$CG$2, ""))</f>
        <v>OILOAK</v>
      </c>
      <c r="W51" s="2" t="str" cm="1">
        <f t="array" ref="W51">_xlfn.TEXTJOIN(", ", TRUE, IF(CH51:CS51="X", $CH$3:$CS$3, ""))</f>
        <v/>
      </c>
      <c r="X51" s="2" t="str" cm="1">
        <f t="array" ref="X51">_xlfn.TEXTJOIN(", ", TRUE, IF(CT51:CX51="X", $CT$3:$CX$3, ""))</f>
        <v/>
      </c>
      <c r="AR51" s="3" t="s">
        <v>764</v>
      </c>
    </row>
    <row r="52" spans="1:102" ht="18.75" customHeight="1" x14ac:dyDescent="0.25">
      <c r="A52" s="8">
        <v>28</v>
      </c>
      <c r="B52" s="2" t="s">
        <v>911</v>
      </c>
      <c r="C52" s="2" t="s">
        <v>912</v>
      </c>
      <c r="D52" s="29" t="s">
        <v>913</v>
      </c>
      <c r="E52" s="29" t="s">
        <v>914</v>
      </c>
      <c r="F52" s="18">
        <v>22284</v>
      </c>
      <c r="G52" s="8">
        <f ca="1">DATEDIF(F52, TODAY(), "Y")</f>
        <v>65</v>
      </c>
      <c r="H52" s="2" t="s">
        <v>803</v>
      </c>
      <c r="I52" s="2" t="s">
        <v>915</v>
      </c>
      <c r="J52" s="29"/>
      <c r="K52" s="3" t="s">
        <v>917</v>
      </c>
      <c r="L52" s="1">
        <v>669237877</v>
      </c>
      <c r="M52" s="30" t="s">
        <v>916</v>
      </c>
      <c r="N52" s="31"/>
      <c r="O52" s="35"/>
      <c r="P52" s="65" t="s">
        <v>918</v>
      </c>
      <c r="Q52" s="65"/>
      <c r="R52" s="49"/>
      <c r="S52" s="49"/>
      <c r="T52" s="49"/>
      <c r="U52" s="2" t="str" cm="1">
        <f t="array" ref="U52">_xlfn.TEXTJOIN(", ", TRUE, IF(Y52:CG52="X", $Y$3:$CG$3, ""))</f>
        <v>Behi haragia</v>
      </c>
      <c r="V52" s="18" t="str" cm="1">
        <f t="array" ref="V52">_xlfn.TEXTJOIN(", ", TRUE, IF(Y52:CG52="X", $Y$2:$CG$2, ""))</f>
        <v>HARAGIA</v>
      </c>
      <c r="W52" s="2" t="str" cm="1">
        <f t="array" ref="W52">_xlfn.TEXTJOIN(", ", TRUE, IF(CH52:CS52="X", $CH$3:$CS$3, ""))</f>
        <v/>
      </c>
      <c r="X52" s="2" t="str" cm="1">
        <f t="array" ref="X52">_xlfn.TEXTJOIN(", ", TRUE, IF(CT52:CX52="X", $CT$3:$CX$3, ""))</f>
        <v/>
      </c>
      <c r="AJ52" s="3" t="s">
        <v>764</v>
      </c>
    </row>
    <row r="53" spans="1:102" ht="18.75" customHeight="1" x14ac:dyDescent="0.25">
      <c r="A53" s="8">
        <v>99</v>
      </c>
      <c r="B53" s="2" t="s">
        <v>1297</v>
      </c>
      <c r="C53" s="2" t="s">
        <v>1293</v>
      </c>
      <c r="D53" s="29" t="s">
        <v>1298</v>
      </c>
      <c r="E53" s="29" t="s">
        <v>1295</v>
      </c>
      <c r="F53" s="18">
        <v>23439</v>
      </c>
      <c r="G53" s="8">
        <f ca="1">DATEDIF(F53, TODAY(), "Y")</f>
        <v>62</v>
      </c>
      <c r="H53" s="2" t="s">
        <v>537</v>
      </c>
      <c r="I53" s="2" t="s">
        <v>1299</v>
      </c>
      <c r="J53" s="29"/>
      <c r="K53" s="65"/>
      <c r="L53" s="1">
        <v>943882680</v>
      </c>
      <c r="M53" s="30" t="s">
        <v>1300</v>
      </c>
      <c r="N53" s="31"/>
      <c r="O53" s="35"/>
      <c r="P53" s="82"/>
      <c r="Q53" s="82"/>
      <c r="R53" s="18"/>
      <c r="S53" s="18"/>
      <c r="T53" s="18"/>
      <c r="U53" s="2" t="str" cm="1">
        <f t="array" ref="U53">_xlfn.TEXTJOIN(", ", TRUE, IF(Y53:CG53="X", $Y$3:$CG$3, ""))</f>
        <v>Barazkiak negutegian</v>
      </c>
      <c r="V53" s="18" t="str" cm="1">
        <f t="array" ref="V53">_xlfn.TEXTJOIN(", ", TRUE, IF(Y53:CG53="X", $Y$2:$CG$2, ""))</f>
        <v>BARAZKIAK</v>
      </c>
      <c r="W53" s="2" t="str" cm="1">
        <f t="array" ref="W53">_xlfn.TEXTJOIN(", ", TRUE, IF(CH53:CS53="X", $CH$3:$CS$3, ""))</f>
        <v/>
      </c>
      <c r="X53" s="2" t="str" cm="1">
        <f t="array" ref="X53">_xlfn.TEXTJOIN(", ", TRUE, IF(CT53:CX53="X", $CT$3:$CX$3, ""))</f>
        <v/>
      </c>
      <c r="AT53" s="65" t="s">
        <v>764</v>
      </c>
    </row>
    <row r="54" spans="1:102" ht="18.75" customHeight="1" x14ac:dyDescent="0.25">
      <c r="A54" s="8">
        <v>410</v>
      </c>
      <c r="B54" s="49"/>
      <c r="C54" s="49"/>
      <c r="D54" s="29" t="s">
        <v>3001</v>
      </c>
      <c r="E54" s="29" t="s">
        <v>3002</v>
      </c>
      <c r="F54" s="66"/>
      <c r="G54" s="8">
        <f ca="1">DATEDIF(F54, TODAY(), "Y")</f>
        <v>126</v>
      </c>
      <c r="H54" s="2" t="s">
        <v>464</v>
      </c>
      <c r="I54" s="49"/>
      <c r="J54" s="38"/>
      <c r="K54" s="65" t="s">
        <v>2871</v>
      </c>
      <c r="L54" s="1"/>
      <c r="M54" s="30" t="s">
        <v>2872</v>
      </c>
      <c r="N54" s="31"/>
      <c r="O54" s="35"/>
      <c r="P54" s="82"/>
      <c r="Q54" s="82"/>
      <c r="R54" s="2" t="s">
        <v>772</v>
      </c>
      <c r="S54" s="2"/>
      <c r="T54" s="2"/>
      <c r="U54" s="2" t="str" cm="1">
        <f t="array" ref="U54">_xlfn.TEXTJOIN(", ", TRUE, IF(Y54:CG54="X", $Y$3:$CG$3, ""))</f>
        <v>Garagardoa</v>
      </c>
      <c r="V54" s="18" t="str" cm="1">
        <f t="array" ref="V54">_xlfn.TEXTJOIN(", ", TRUE, IF(Y54:CG54="X", $Y$2:$CG$2, ""))</f>
        <v>EDARIAK</v>
      </c>
      <c r="W54" s="2" t="str" cm="1">
        <f t="array" ref="W54">_xlfn.TEXTJOIN(", ", TRUE, IF(CH54:CS54="X", $CH$3:$CS$3, ""))</f>
        <v/>
      </c>
      <c r="X54" s="2" t="str" cm="1">
        <f t="array" ref="X54">_xlfn.TEXTJOIN(", ", TRUE, IF(CT54:CX54="X", $CT$3:$CX$3, ""))</f>
        <v/>
      </c>
      <c r="CD54" s="65" t="s">
        <v>764</v>
      </c>
    </row>
    <row r="55" spans="1:102" ht="18.75" customHeight="1" x14ac:dyDescent="0.25">
      <c r="A55" s="8">
        <v>229</v>
      </c>
      <c r="B55" s="2" t="s">
        <v>2031</v>
      </c>
      <c r="C55" s="2" t="s">
        <v>2032</v>
      </c>
      <c r="D55" s="29" t="s">
        <v>2033</v>
      </c>
      <c r="E55" s="29" t="s">
        <v>2034</v>
      </c>
      <c r="F55" s="18"/>
      <c r="G55" s="8">
        <f ca="1">DATEDIF(F55, TODAY(), "Y")</f>
        <v>126</v>
      </c>
      <c r="H55" s="2" t="s">
        <v>566</v>
      </c>
      <c r="I55" s="2" t="s">
        <v>2035</v>
      </c>
      <c r="J55" s="29"/>
      <c r="L55" s="1">
        <v>620868605</v>
      </c>
      <c r="M55" s="30" t="s">
        <v>2036</v>
      </c>
      <c r="N55" s="31"/>
      <c r="O55" s="31"/>
      <c r="P55" s="2" t="s">
        <v>2037</v>
      </c>
      <c r="Q55" s="2"/>
      <c r="R55" s="49"/>
      <c r="S55" s="49"/>
      <c r="T55" s="49"/>
      <c r="U55" s="2" t="str" cm="1">
        <f t="array" ref="U55">_xlfn.TEXTJOIN(", ", TRUE, IF(Y55:CG55="X", $Y$3:$CG$3, ""))</f>
        <v/>
      </c>
      <c r="V55" s="18" t="str" cm="1">
        <f t="array" ref="V55">_xlfn.TEXTJOIN(", ", TRUE, IF(Y55:CG55="X", $Y$2:$CG$2, ""))</f>
        <v/>
      </c>
      <c r="W55" s="2" t="str" cm="1">
        <f t="array" ref="W55">_xlfn.TEXTJOIN(", ", TRUE, IF(CH55:CS55="X", $CH$3:$CS$3, ""))</f>
        <v/>
      </c>
      <c r="X55" s="2" t="str" cm="1">
        <f t="array" ref="X55">_xlfn.TEXTJOIN(", ", TRUE, IF(CT55:CX55="X", $CT$3:$CX$3, ""))</f>
        <v/>
      </c>
    </row>
    <row r="56" spans="1:102" ht="18.75" customHeight="1" x14ac:dyDescent="0.25">
      <c r="A56" s="8">
        <v>164</v>
      </c>
      <c r="B56" s="2" t="s">
        <v>1668</v>
      </c>
      <c r="C56" s="2" t="s">
        <v>1669</v>
      </c>
      <c r="D56" s="29" t="s">
        <v>1670</v>
      </c>
      <c r="E56" s="29" t="s">
        <v>1671</v>
      </c>
      <c r="F56" s="18">
        <v>20049</v>
      </c>
      <c r="G56" s="8">
        <f ca="1">DATEDIF(F56, TODAY(), "Y")</f>
        <v>71</v>
      </c>
      <c r="H56" s="2" t="s">
        <v>464</v>
      </c>
      <c r="I56" s="2" t="s">
        <v>1672</v>
      </c>
      <c r="J56" s="29"/>
      <c r="L56" s="1">
        <v>615745924</v>
      </c>
      <c r="M56" s="30" t="s">
        <v>358</v>
      </c>
      <c r="N56" s="31"/>
      <c r="O56" s="35"/>
      <c r="P56" s="65" t="s">
        <v>3075</v>
      </c>
      <c r="Q56" s="65"/>
      <c r="R56" s="18"/>
      <c r="S56" s="18"/>
      <c r="T56" s="18"/>
      <c r="U56" s="2" t="str" cm="1">
        <f t="array" ref="U56">_xlfn.TEXTJOIN(", ", TRUE, IF(Y56:CG56="X", $Y$3:$CG$3, ""))</f>
        <v>Ardi haragia</v>
      </c>
      <c r="V56" s="18" t="str" cm="1">
        <f t="array" ref="V56">_xlfn.TEXTJOIN(", ", TRUE, IF(Y56:CG56="X", $Y$2:$CG$2, ""))</f>
        <v>HARAGIA</v>
      </c>
      <c r="W56" s="2" t="str" cm="1">
        <f t="array" ref="W56">_xlfn.TEXTJOIN(", ", TRUE, IF(CH56:CS56="X", $CH$3:$CS$3, ""))</f>
        <v/>
      </c>
      <c r="X56" s="2" t="str" cm="1">
        <f t="array" ref="X56">_xlfn.TEXTJOIN(", ", TRUE, IF(CT56:CX56="X", $CT$3:$CX$3, ""))</f>
        <v/>
      </c>
      <c r="AK56" s="3" t="s">
        <v>764</v>
      </c>
    </row>
    <row r="57" spans="1:102" ht="18.75" customHeight="1" x14ac:dyDescent="0.25">
      <c r="A57" s="8">
        <v>255</v>
      </c>
      <c r="B57" s="1" t="s">
        <v>2184</v>
      </c>
      <c r="C57" s="1" t="s">
        <v>2185</v>
      </c>
      <c r="D57" s="29" t="s">
        <v>2966</v>
      </c>
      <c r="E57" s="29" t="s">
        <v>2967</v>
      </c>
      <c r="F57" s="18">
        <v>33652</v>
      </c>
      <c r="G57" s="8">
        <f ca="1">DATEDIF(F57, TODAY(), "Y")</f>
        <v>34</v>
      </c>
      <c r="H57" s="1" t="s">
        <v>605</v>
      </c>
      <c r="I57" s="1" t="s">
        <v>2186</v>
      </c>
      <c r="J57" s="73"/>
      <c r="K57" s="74"/>
      <c r="L57" s="1">
        <v>662156497</v>
      </c>
      <c r="M57" s="30" t="s">
        <v>2187</v>
      </c>
      <c r="N57" s="31"/>
      <c r="O57" s="35"/>
      <c r="P57" s="74" t="s">
        <v>2188</v>
      </c>
      <c r="Q57" s="74" t="s">
        <v>3020</v>
      </c>
      <c r="R57" s="1" t="s">
        <v>1216</v>
      </c>
      <c r="S57" s="1"/>
      <c r="T57" s="1"/>
      <c r="U57" s="2" t="str" cm="1">
        <f t="array" ref="U57">_xlfn.TEXTJOIN(", ", TRUE, IF(Y57:CG57="X", $Y$3:$CG$3, ""))</f>
        <v>Behi haragia, Zaldi haragia, Barazkiak aire librean</v>
      </c>
      <c r="V57" s="18" t="str" cm="1">
        <f t="array" ref="V57">_xlfn.TEXTJOIN(", ", TRUE, IF(Y57:CG57="X", $Y$2:$CG$2, ""))</f>
        <v>HARAGIA, HARAGIA, BARAZKIAK</v>
      </c>
      <c r="W57" s="2" t="str" cm="1">
        <f t="array" ref="W57">_xlfn.TEXTJOIN(", ", TRUE, IF(CH57:CS57="X", $CH$3:$CS$3, ""))</f>
        <v/>
      </c>
      <c r="X57" s="2" t="str" cm="1">
        <f t="array" ref="X57">_xlfn.TEXTJOIN(", ", TRUE, IF(CT57:CX57="X", $CT$3:$CX$3, ""))</f>
        <v>Ekologikoa</v>
      </c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 t="s">
        <v>764</v>
      </c>
      <c r="AK57" s="74"/>
      <c r="AL57" s="74" t="s">
        <v>764</v>
      </c>
      <c r="AM57" s="74"/>
      <c r="AN57" s="74"/>
      <c r="AO57" s="74"/>
      <c r="AP57" s="74"/>
      <c r="AQ57" s="74"/>
      <c r="AR57" s="74"/>
      <c r="AS57" s="74" t="s">
        <v>764</v>
      </c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74"/>
      <c r="BU57" s="74"/>
      <c r="BV57" s="74"/>
      <c r="BW57" s="74"/>
      <c r="BX57" s="74"/>
      <c r="BY57" s="74"/>
      <c r="BZ57" s="74"/>
      <c r="CA57" s="74"/>
      <c r="CB57" s="74"/>
      <c r="CC57" s="74"/>
      <c r="CD57" s="74"/>
      <c r="CE57" s="74"/>
      <c r="CF57" s="74"/>
      <c r="CG57" s="74"/>
      <c r="CH57" s="74"/>
      <c r="CI57" s="74"/>
      <c r="CJ57" s="74"/>
      <c r="CK57" s="74"/>
      <c r="CL57" s="74"/>
      <c r="CM57" s="74"/>
      <c r="CN57" s="74"/>
      <c r="CO57" s="74"/>
      <c r="CP57" s="74"/>
      <c r="CQ57" s="74"/>
      <c r="CR57" s="74"/>
      <c r="CS57" s="74"/>
      <c r="CT57" s="74" t="s">
        <v>764</v>
      </c>
      <c r="CU57" s="74"/>
      <c r="CV57" s="74"/>
      <c r="CW57" s="74"/>
      <c r="CX57" s="74"/>
    </row>
    <row r="58" spans="1:102" ht="18.75" customHeight="1" x14ac:dyDescent="0.25">
      <c r="A58" s="8">
        <v>391</v>
      </c>
      <c r="B58" s="2" t="s">
        <v>2811</v>
      </c>
      <c r="C58" s="2" t="s">
        <v>2812</v>
      </c>
      <c r="D58" s="29" t="s">
        <v>2813</v>
      </c>
      <c r="E58" s="29" t="s">
        <v>2814</v>
      </c>
      <c r="F58" s="18">
        <v>31187</v>
      </c>
      <c r="G58" s="8">
        <f ca="1">DATEDIF(F58, TODAY(), "Y")</f>
        <v>41</v>
      </c>
      <c r="H58" s="2" t="s">
        <v>2448</v>
      </c>
      <c r="I58" s="2" t="s">
        <v>2825</v>
      </c>
      <c r="J58" s="29"/>
      <c r="L58" s="1">
        <v>670513795</v>
      </c>
      <c r="M58" s="30" t="s">
        <v>2826</v>
      </c>
      <c r="N58" s="31"/>
      <c r="O58" s="35"/>
      <c r="P58" s="65" t="s">
        <v>2827</v>
      </c>
      <c r="Q58" s="65" t="s">
        <v>3020</v>
      </c>
      <c r="R58" s="18"/>
      <c r="S58" s="18"/>
      <c r="T58" s="18"/>
      <c r="U58" s="2" t="str" cm="1">
        <f t="array" ref="U58">_xlfn.TEXTJOIN(", ", TRUE, IF(Y58:CG58="X", $Y$3:$CG$3, ""))</f>
        <v>Ardi gazta</v>
      </c>
      <c r="V58" s="18" t="str" cm="1">
        <f t="array" ref="V58">_xlfn.TEXTJOIN(", ", TRUE, IF(Y58:CG58="X", $Y$2:$CG$2, ""))</f>
        <v>ESNEKIAK</v>
      </c>
      <c r="W58" s="2" t="str" cm="1">
        <f t="array" ref="W58">_xlfn.TEXTJOIN(", ", TRUE, IF(CH58:CS58="X", $CH$3:$CS$3, ""))</f>
        <v/>
      </c>
      <c r="X58" s="2" t="str" cm="1">
        <f t="array" ref="X58">_xlfn.TEXTJOIN(", ", TRUE, IF(CT58:CX58="X", $CT$3:$CX$3, ""))</f>
        <v>DO Idiazabal, Artzai Gazta</v>
      </c>
      <c r="AC58" s="65" t="s">
        <v>764</v>
      </c>
      <c r="CW58" s="65" t="s">
        <v>764</v>
      </c>
      <c r="CX58" s="65" t="s">
        <v>764</v>
      </c>
    </row>
    <row r="59" spans="1:102" ht="18.75" customHeight="1" x14ac:dyDescent="0.25">
      <c r="A59" s="8">
        <v>156</v>
      </c>
      <c r="B59" s="2" t="s">
        <v>1619</v>
      </c>
      <c r="C59" s="2" t="s">
        <v>1620</v>
      </c>
      <c r="D59" s="29" t="s">
        <v>1621</v>
      </c>
      <c r="E59" s="29" t="s">
        <v>1622</v>
      </c>
      <c r="F59" s="18">
        <v>36892</v>
      </c>
      <c r="G59" s="8">
        <f ca="1">DATEDIF(F59, TODAY(), "Y")</f>
        <v>25</v>
      </c>
      <c r="H59" s="2" t="s">
        <v>464</v>
      </c>
      <c r="I59" s="2" t="s">
        <v>1623</v>
      </c>
      <c r="J59" s="29"/>
      <c r="K59" s="3" t="s">
        <v>3103</v>
      </c>
      <c r="L59" s="1" t="s">
        <v>1624</v>
      </c>
      <c r="M59" s="30" t="s">
        <v>1625</v>
      </c>
      <c r="N59" s="31"/>
      <c r="O59" s="31"/>
      <c r="P59" s="2" t="s">
        <v>1626</v>
      </c>
      <c r="Q59" s="29" t="s">
        <v>3020</v>
      </c>
      <c r="R59" s="82"/>
      <c r="S59" s="82"/>
      <c r="T59" s="82"/>
      <c r="U59" s="2" t="str" cm="1">
        <f t="array" ref="U59">_xlfn.TEXTJOIN(", ", TRUE, IF(Y59:CG59="X", $Y$3:$CG$3, ""))</f>
        <v>Ardi gazta</v>
      </c>
      <c r="V59" s="18" t="str" cm="1">
        <f t="array" ref="V59">_xlfn.TEXTJOIN(", ", TRUE, IF(Y59:CG59="X", $Y$2:$CG$2, ""))</f>
        <v>ESNEKIAK</v>
      </c>
      <c r="W59" s="2" t="str" cm="1">
        <f t="array" ref="W59">_xlfn.TEXTJOIN(", ", TRUE, IF(CH59:CS59="X", $CH$3:$CS$3, ""))</f>
        <v/>
      </c>
      <c r="X59" s="2" t="str" cm="1">
        <f t="array" ref="X59">_xlfn.TEXTJOIN(", ", TRUE, IF(CT59:CX59="X", $CT$3:$CX$3, ""))</f>
        <v>DO Idiazabal, Artzai Gazta</v>
      </c>
      <c r="AC59" s="65" t="s">
        <v>764</v>
      </c>
      <c r="CW59" s="65" t="s">
        <v>764</v>
      </c>
      <c r="CX59" s="65" t="s">
        <v>764</v>
      </c>
    </row>
    <row r="60" spans="1:102" ht="18.75" customHeight="1" x14ac:dyDescent="0.25">
      <c r="A60" s="8">
        <v>344</v>
      </c>
      <c r="B60" s="2" t="s">
        <v>2684</v>
      </c>
      <c r="C60" s="2" t="s">
        <v>2685</v>
      </c>
      <c r="D60" s="29" t="s">
        <v>2686</v>
      </c>
      <c r="E60" s="29" t="s">
        <v>2687</v>
      </c>
      <c r="F60" s="18">
        <v>26864</v>
      </c>
      <c r="G60" s="8">
        <f ca="1">DATEDIF(F60, TODAY(), "Y")</f>
        <v>53</v>
      </c>
      <c r="H60" s="2" t="s">
        <v>476</v>
      </c>
      <c r="I60" s="2" t="s">
        <v>2688</v>
      </c>
      <c r="J60" s="29"/>
      <c r="L60" s="1">
        <v>636853977</v>
      </c>
      <c r="M60" s="30" t="s">
        <v>2689</v>
      </c>
      <c r="N60" s="31"/>
      <c r="O60" s="35"/>
      <c r="P60" s="65" t="s">
        <v>2690</v>
      </c>
      <c r="Q60" s="65"/>
      <c r="R60" s="18"/>
      <c r="S60" s="18"/>
      <c r="T60" s="18"/>
      <c r="U60" s="2" t="str" cm="1">
        <f t="array" ref="U60">_xlfn.TEXTJOIN(", ", TRUE, IF(Y60:CG60="X", $Y$3:$CG$3, ""))</f>
        <v/>
      </c>
      <c r="V60" s="18" t="str" cm="1">
        <f t="array" ref="V60">_xlfn.TEXTJOIN(", ", TRUE, IF(Y60:CG60="X", $Y$2:$CG$2, ""))</f>
        <v/>
      </c>
      <c r="W60" s="2" t="str" cm="1">
        <f t="array" ref="W60">_xlfn.TEXTJOIN(", ", TRUE, IF(CH60:CS60="X", $CH$3:$CS$3, ""))</f>
        <v/>
      </c>
      <c r="X60" s="2" t="str" cm="1">
        <f t="array" ref="X60">_xlfn.TEXTJOIN(", ", TRUE, IF(CT60:CX60="X", $CT$3:$CX$3, ""))</f>
        <v/>
      </c>
    </row>
    <row r="61" spans="1:102" ht="18.75" customHeight="1" x14ac:dyDescent="0.25">
      <c r="A61" s="8">
        <v>161</v>
      </c>
      <c r="B61" s="2" t="s">
        <v>1650</v>
      </c>
      <c r="C61" s="2" t="s">
        <v>1651</v>
      </c>
      <c r="D61" s="29" t="s">
        <v>1652</v>
      </c>
      <c r="E61" s="29" t="s">
        <v>1653</v>
      </c>
      <c r="F61" s="18">
        <v>20800</v>
      </c>
      <c r="G61" s="8">
        <f ca="1">DATEDIF(F61, TODAY(), "Y")</f>
        <v>69</v>
      </c>
      <c r="H61" s="2" t="s">
        <v>464</v>
      </c>
      <c r="I61" s="2" t="s">
        <v>3080</v>
      </c>
      <c r="J61" s="29"/>
      <c r="K61" s="65"/>
      <c r="L61" s="1">
        <v>667947173</v>
      </c>
      <c r="M61" s="30" t="s">
        <v>1654</v>
      </c>
      <c r="N61" s="31"/>
      <c r="O61" s="35"/>
      <c r="P61" s="65" t="s">
        <v>1655</v>
      </c>
      <c r="Q61" s="65"/>
      <c r="R61" s="2" t="s">
        <v>772</v>
      </c>
      <c r="S61" s="2"/>
      <c r="T61" s="2"/>
      <c r="U61" s="2" t="str" cm="1">
        <f t="array" ref="U61">_xlfn.TEXTJOIN(", ", TRUE, IF(Y61:CG61="X", $Y$3:$CG$3, ""))</f>
        <v/>
      </c>
      <c r="V61" s="18" t="str" cm="1">
        <f t="array" ref="V61">_xlfn.TEXTJOIN(", ", TRUE, IF(Y61:CG61="X", $Y$2:$CG$2, ""))</f>
        <v/>
      </c>
      <c r="W61" s="2" t="str" cm="1">
        <f t="array" ref="W61">_xlfn.TEXTJOIN(", ", TRUE, IF(CH61:CS61="X", $CH$3:$CS$3, ""))</f>
        <v/>
      </c>
      <c r="X61" s="2" t="str" cm="1">
        <f t="array" ref="X61">_xlfn.TEXTJOIN(", ", TRUE, IF(CT61:CX61="X", $CT$3:$CX$3, ""))</f>
        <v/>
      </c>
    </row>
    <row r="62" spans="1:102" ht="18.75" customHeight="1" x14ac:dyDescent="0.25">
      <c r="A62" s="8">
        <v>162</v>
      </c>
      <c r="B62" s="2" t="s">
        <v>1656</v>
      </c>
      <c r="C62" s="2" t="s">
        <v>1657</v>
      </c>
      <c r="D62" s="29" t="s">
        <v>1658</v>
      </c>
      <c r="E62" s="29" t="s">
        <v>1659</v>
      </c>
      <c r="F62" s="18"/>
      <c r="G62" s="8">
        <f ca="1">DATEDIF(F62, TODAY(), "Y")</f>
        <v>126</v>
      </c>
      <c r="H62" s="2" t="s">
        <v>464</v>
      </c>
      <c r="I62" s="2" t="s">
        <v>3077</v>
      </c>
      <c r="J62" s="29"/>
      <c r="K62" s="65" t="s">
        <v>1660</v>
      </c>
      <c r="L62" s="1" t="s">
        <v>1661</v>
      </c>
      <c r="M62" s="30" t="s">
        <v>1654</v>
      </c>
      <c r="N62" s="55"/>
      <c r="O62" s="79" t="s">
        <v>3078</v>
      </c>
      <c r="P62" s="65" t="s">
        <v>1662</v>
      </c>
      <c r="Q62" s="65" t="s">
        <v>3021</v>
      </c>
      <c r="R62" s="2" t="s">
        <v>772</v>
      </c>
      <c r="S62" s="2"/>
      <c r="T62" s="2"/>
      <c r="U62" s="2" t="str" cm="1">
        <f t="array" ref="U62">_xlfn.TEXTJOIN(", ", TRUE, IF(Y62:CG62="X", $Y$3:$CG$3, ""))</f>
        <v>Behi esnea</v>
      </c>
      <c r="V62" s="18" t="str" cm="1">
        <f t="array" ref="V62">_xlfn.TEXTJOIN(", ", TRUE, IF(Y62:CG62="X", $Y$2:$CG$2, ""))</f>
        <v>ESNEKIAK</v>
      </c>
      <c r="W62" s="2" t="str" cm="1">
        <f t="array" ref="W62">_xlfn.TEXTJOIN(", ", TRUE, IF(CH62:CS62="X", $CH$3:$CS$3, ""))</f>
        <v>Vending makina</v>
      </c>
      <c r="X62" s="2" t="str" cm="1">
        <f t="array" ref="X62">_xlfn.TEXTJOIN(", ", TRUE, IF(CT62:CX62="X", $CT$3:$CX$3, ""))</f>
        <v/>
      </c>
      <c r="Y62" s="3" t="s">
        <v>764</v>
      </c>
      <c r="CN62" s="65" t="s">
        <v>764</v>
      </c>
    </row>
    <row r="63" spans="1:102" ht="18.75" customHeight="1" x14ac:dyDescent="0.25">
      <c r="A63" s="8">
        <v>195</v>
      </c>
      <c r="B63" s="2" t="s">
        <v>1855</v>
      </c>
      <c r="C63" s="2" t="s">
        <v>1856</v>
      </c>
      <c r="D63" s="29" t="s">
        <v>1857</v>
      </c>
      <c r="E63" s="29" t="s">
        <v>1858</v>
      </c>
      <c r="F63" s="18">
        <v>20022</v>
      </c>
      <c r="G63" s="8">
        <f ca="1">DATEDIF(F63, TODAY(), "Y")</f>
        <v>71</v>
      </c>
      <c r="H63" s="2" t="s">
        <v>468</v>
      </c>
      <c r="I63" s="2" t="s">
        <v>1859</v>
      </c>
      <c r="J63" s="29"/>
      <c r="L63" s="1">
        <v>697932054</v>
      </c>
      <c r="M63" s="30" t="s">
        <v>1860</v>
      </c>
      <c r="N63" s="31"/>
      <c r="O63" s="31"/>
      <c r="P63" s="2" t="s">
        <v>1861</v>
      </c>
      <c r="Q63" s="2" t="s">
        <v>3020</v>
      </c>
      <c r="R63" s="2" t="s">
        <v>772</v>
      </c>
      <c r="S63" s="2"/>
      <c r="T63" s="2"/>
      <c r="U63" s="2" t="str" cm="1">
        <f t="array" ref="U63">_xlfn.TEXTJOIN(", ", TRUE, IF(Y63:CG63="X", $Y$3:$CG$3, ""))</f>
        <v>Ardi gazta, Behi haragia, Oilaskoak, Mermelada, Babarrunak, Fruta</v>
      </c>
      <c r="V63" s="18" t="str" cm="1">
        <f t="array" ref="V63">_xlfn.TEXTJOIN(", ", TRUE, IF(Y63:CG63="X", $Y$2:$CG$2, ""))</f>
        <v>ESNEKIAK, HARAGIA, HARAGIA, ERATORRIAK, LEKALEAK, FRUTA</v>
      </c>
      <c r="W63" s="2" t="str" cm="1">
        <f t="array" ref="W63">_xlfn.TEXTJOIN(", ", TRUE, IF(CH63:CS63="X", $CH$3:$CS$3, ""))</f>
        <v>Etxetik, Harategian, Bertatik Bertara</v>
      </c>
      <c r="X63" s="2" t="str" cm="1">
        <f t="array" ref="X63">_xlfn.TEXTJOIN(", ", TRUE, IF(CT63:CX63="X", $CT$3:$CX$3, ""))</f>
        <v/>
      </c>
      <c r="AC63" s="65" t="s">
        <v>764</v>
      </c>
      <c r="AJ63" s="65" t="s">
        <v>764</v>
      </c>
      <c r="AN63" s="65" t="s">
        <v>764</v>
      </c>
      <c r="AX63" s="65" t="s">
        <v>764</v>
      </c>
      <c r="AZ63" s="65" t="s">
        <v>764</v>
      </c>
      <c r="BD63" s="65" t="s">
        <v>764</v>
      </c>
      <c r="CI63" s="65" t="s">
        <v>764</v>
      </c>
      <c r="CL63" s="65" t="s">
        <v>764</v>
      </c>
      <c r="CR63" s="65" t="s">
        <v>764</v>
      </c>
    </row>
    <row r="64" spans="1:102" ht="18.75" customHeight="1" x14ac:dyDescent="0.25">
      <c r="A64" s="8">
        <v>115</v>
      </c>
      <c r="B64" s="2" t="s">
        <v>1392</v>
      </c>
      <c r="C64" s="2" t="s">
        <v>1393</v>
      </c>
      <c r="D64" s="29" t="s">
        <v>1394</v>
      </c>
      <c r="E64" s="29" t="s">
        <v>1395</v>
      </c>
      <c r="F64" s="18">
        <v>25204</v>
      </c>
      <c r="G64" s="8">
        <f ca="1">DATEDIF(F64, TODAY(), "Y")</f>
        <v>57</v>
      </c>
      <c r="H64" s="2" t="s">
        <v>537</v>
      </c>
      <c r="I64" s="2" t="s">
        <v>1396</v>
      </c>
      <c r="J64" s="29"/>
      <c r="L64" s="1">
        <v>664490928</v>
      </c>
      <c r="M64" s="30" t="s">
        <v>1397</v>
      </c>
      <c r="N64" s="31"/>
      <c r="O64" s="35"/>
      <c r="P64" s="65" t="s">
        <v>1398</v>
      </c>
      <c r="Q64" s="65" t="s">
        <v>3020</v>
      </c>
      <c r="R64" s="2" t="s">
        <v>1216</v>
      </c>
      <c r="S64" s="2"/>
      <c r="T64" s="2"/>
      <c r="U64" s="2" t="str" cm="1">
        <f t="array" ref="U64">_xlfn.TEXTJOIN(", ", TRUE, IF(Y64:CG64="X", $Y$3:$CG$3, ""))</f>
        <v>Arrautzak, Barazkiak aire librean, Mermelada, Babarrunak, Fruta, Sagarrak, Intxaurrak, Zukuak</v>
      </c>
      <c r="V64" s="18" t="str" cm="1">
        <f t="array" ref="V64">_xlfn.TEXTJOIN(", ", TRUE, IF(Y64:CG64="X", $Y$2:$CG$2, ""))</f>
        <v>OILOAK, BARAZKIAK, ERATORRIAK, LEKALEAK, FRUTA, FRUTA, FRUITU LEHORRAK, EDARIAK</v>
      </c>
      <c r="W64" s="2" t="str" cm="1">
        <f t="array" ref="W64">_xlfn.TEXTJOIN(", ", TRUE, IF(CH64:CS64="X", $CH$3:$CS$3, ""))</f>
        <v/>
      </c>
      <c r="X64" s="2" t="str" cm="1">
        <f t="array" ref="X64">_xlfn.TEXTJOIN(", ", TRUE, IF(CT64:CX64="X", $CT$3:$CX$3, ""))</f>
        <v>Ekologikoa</v>
      </c>
      <c r="AR64" s="65" t="s">
        <v>764</v>
      </c>
      <c r="AS64" s="65" t="s">
        <v>764</v>
      </c>
      <c r="AX64" s="65" t="s">
        <v>764</v>
      </c>
      <c r="AZ64" s="65" t="s">
        <v>764</v>
      </c>
      <c r="BD64" s="65" t="s">
        <v>764</v>
      </c>
      <c r="BF64" s="65" t="s">
        <v>764</v>
      </c>
      <c r="BO64" s="65" t="s">
        <v>764</v>
      </c>
      <c r="CF64" s="65" t="s">
        <v>764</v>
      </c>
      <c r="CT64" s="65" t="s">
        <v>764</v>
      </c>
    </row>
    <row r="65" spans="1:99" ht="18.75" customHeight="1" x14ac:dyDescent="0.25">
      <c r="A65" s="8">
        <v>324</v>
      </c>
      <c r="B65" s="2" t="s">
        <v>2574</v>
      </c>
      <c r="C65" s="2" t="s">
        <v>2575</v>
      </c>
      <c r="D65" s="29" t="s">
        <v>2576</v>
      </c>
      <c r="E65" s="29" t="s">
        <v>2577</v>
      </c>
      <c r="F65" s="18"/>
      <c r="G65" s="8">
        <f ca="1">DATEDIF(F65, TODAY(), "Y")</f>
        <v>126</v>
      </c>
      <c r="H65" s="2" t="s">
        <v>605</v>
      </c>
      <c r="I65" s="2" t="s">
        <v>2578</v>
      </c>
      <c r="J65" s="29"/>
      <c r="L65" s="1">
        <v>649109231</v>
      </c>
      <c r="M65" s="30" t="s">
        <v>1537</v>
      </c>
      <c r="N65" s="31"/>
      <c r="O65" s="35"/>
      <c r="P65" s="65" t="s">
        <v>2579</v>
      </c>
      <c r="Q65" s="65"/>
      <c r="R65" s="49"/>
      <c r="S65" s="49"/>
      <c r="T65" s="49"/>
      <c r="U65" s="2" t="str" cm="1">
        <f t="array" ref="U65">_xlfn.TEXTJOIN(", ", TRUE, IF(Y65:CG65="X", $Y$3:$CG$3, ""))</f>
        <v/>
      </c>
      <c r="V65" s="18" t="str" cm="1">
        <f t="array" ref="V65">_xlfn.TEXTJOIN(", ", TRUE, IF(Y65:CG65="X", $Y$2:$CG$2, ""))</f>
        <v/>
      </c>
      <c r="W65" s="2" t="str" cm="1">
        <f t="array" ref="W65">_xlfn.TEXTJOIN(", ", TRUE, IF(CH65:CS65="X", $CH$3:$CS$3, ""))</f>
        <v/>
      </c>
      <c r="X65" s="2" t="str" cm="1">
        <f t="array" ref="X65">_xlfn.TEXTJOIN(", ", TRUE, IF(CT65:CX65="X", $CT$3:$CX$3, ""))</f>
        <v/>
      </c>
    </row>
    <row r="66" spans="1:99" ht="18.75" customHeight="1" x14ac:dyDescent="0.25">
      <c r="A66" s="8">
        <v>406</v>
      </c>
      <c r="B66" s="49"/>
      <c r="C66" s="49"/>
      <c r="D66" s="29"/>
      <c r="E66" s="29"/>
      <c r="F66" s="66"/>
      <c r="G66" s="8">
        <f ca="1">DATEDIF(F66, TODAY(), "Y")</f>
        <v>126</v>
      </c>
      <c r="H66" s="2" t="s">
        <v>532</v>
      </c>
      <c r="I66" s="49"/>
      <c r="J66" s="38"/>
      <c r="L66" s="1">
        <v>628195135</v>
      </c>
      <c r="M66" s="30" t="s">
        <v>2862</v>
      </c>
      <c r="N66" s="31"/>
      <c r="O66" s="31"/>
      <c r="P66" s="2" t="s">
        <v>2863</v>
      </c>
      <c r="Q66" s="2"/>
      <c r="R66" s="2" t="s">
        <v>1216</v>
      </c>
      <c r="S66" s="2"/>
      <c r="T66" s="2"/>
      <c r="U66" s="2" t="str" cm="1">
        <f t="array" ref="U66">_xlfn.TEXTJOIN(", ", TRUE, IF(Y66:CG66="X", $Y$3:$CG$3, ""))</f>
        <v/>
      </c>
      <c r="V66" s="18" t="str" cm="1">
        <f t="array" ref="V66">_xlfn.TEXTJOIN(", ", TRUE, IF(Y66:CG66="X", $Y$2:$CG$2, ""))</f>
        <v/>
      </c>
      <c r="W66" s="2" t="str" cm="1">
        <f t="array" ref="W66">_xlfn.TEXTJOIN(", ", TRUE, IF(CH66:CS66="X", $CH$3:$CS$3, ""))</f>
        <v/>
      </c>
      <c r="X66" s="2" t="str" cm="1">
        <f t="array" ref="X66">_xlfn.TEXTJOIN(", ", TRUE, IF(CT66:CX66="X", $CT$3:$CX$3, ""))</f>
        <v/>
      </c>
    </row>
    <row r="67" spans="1:99" ht="18.75" customHeight="1" x14ac:dyDescent="0.25">
      <c r="A67" s="8">
        <v>177</v>
      </c>
      <c r="B67" s="2" t="s">
        <v>1747</v>
      </c>
      <c r="C67" s="2" t="s">
        <v>1748</v>
      </c>
      <c r="D67" s="29" t="s">
        <v>1749</v>
      </c>
      <c r="E67" s="29" t="s">
        <v>1750</v>
      </c>
      <c r="F67" s="18">
        <v>13039</v>
      </c>
      <c r="G67" s="8">
        <f ca="1">DATEDIF(F67, TODAY(), "Y")</f>
        <v>90</v>
      </c>
      <c r="H67" s="2" t="s">
        <v>468</v>
      </c>
      <c r="I67" s="2" t="s">
        <v>1751</v>
      </c>
      <c r="J67" s="29"/>
      <c r="K67" s="65" t="s">
        <v>1752</v>
      </c>
      <c r="L67" s="1">
        <v>699366789</v>
      </c>
      <c r="M67" s="30" t="s">
        <v>1753</v>
      </c>
      <c r="N67" s="31"/>
      <c r="O67" s="35"/>
      <c r="P67" s="65" t="s">
        <v>1754</v>
      </c>
      <c r="Q67" s="65" t="s">
        <v>3020</v>
      </c>
      <c r="R67" s="2" t="s">
        <v>772</v>
      </c>
      <c r="S67" s="2"/>
      <c r="T67" s="2"/>
      <c r="U67" s="2" t="str" cm="1">
        <f t="array" ref="U67">_xlfn.TEXTJOIN(", ", TRUE, IF(Y67:CG67="X", $Y$3:$CG$3, ""))</f>
        <v>Behi haragia</v>
      </c>
      <c r="V67" s="18" t="str" cm="1">
        <f t="array" ref="V67">_xlfn.TEXTJOIN(", ", TRUE, IF(Y67:CG67="X", $Y$2:$CG$2, ""))</f>
        <v>HARAGIA</v>
      </c>
      <c r="W67" s="2" t="str" cm="1">
        <f t="array" ref="W67">_xlfn.TEXTJOIN(", ", TRUE, IF(CH67:CS67="X", $CH$3:$CS$3, ""))</f>
        <v>Etxetik, Kontsumo taldeak, Online, Biziola</v>
      </c>
      <c r="X67" s="2" t="str" cm="1">
        <f t="array" ref="X67">_xlfn.TEXTJOIN(", ", TRUE, IF(CT67:CX67="X", $CT$3:$CX$3, ""))</f>
        <v>Erregeneratzailea</v>
      </c>
      <c r="AJ67" s="65" t="s">
        <v>764</v>
      </c>
      <c r="CI67" s="65" t="s">
        <v>764</v>
      </c>
      <c r="CM67" s="65" t="s">
        <v>764</v>
      </c>
      <c r="CO67" s="65" t="s">
        <v>764</v>
      </c>
      <c r="CP67" s="65" t="s">
        <v>764</v>
      </c>
      <c r="CQ67" s="65"/>
      <c r="CU67" s="65" t="s">
        <v>764</v>
      </c>
    </row>
    <row r="68" spans="1:99" ht="18.75" customHeight="1" x14ac:dyDescent="0.25">
      <c r="A68" s="62"/>
      <c r="B68" s="49"/>
      <c r="C68" s="49"/>
      <c r="D68" s="29" t="s">
        <v>3099</v>
      </c>
      <c r="E68" s="29" t="s">
        <v>3100</v>
      </c>
      <c r="F68" s="66"/>
      <c r="G68" s="62"/>
      <c r="H68" s="2" t="s">
        <v>1452</v>
      </c>
      <c r="I68" s="49"/>
      <c r="J68" s="38"/>
      <c r="K68" s="3" t="s">
        <v>3063</v>
      </c>
      <c r="L68" s="1">
        <v>653735282</v>
      </c>
      <c r="M68" s="30" t="s">
        <v>3064</v>
      </c>
      <c r="N68" s="49"/>
      <c r="O68" s="49"/>
      <c r="P68" s="49" t="s">
        <v>3065</v>
      </c>
      <c r="Q68" s="49"/>
      <c r="R68" s="49"/>
      <c r="S68" s="49"/>
      <c r="T68" s="49"/>
      <c r="U68" s="2" t="str" cm="1">
        <f t="array" ref="U68">_xlfn.TEXTJOIN(", ", TRUE, IF(Y68:CG68="X", $Y$3:$CG$3, ""))</f>
        <v>Behi gazta</v>
      </c>
      <c r="V68" s="18" t="str" cm="1">
        <f t="array" ref="V68">_xlfn.TEXTJOIN(", ", TRUE, IF(Y68:CG68="X", $Y$2:$CG$2, ""))</f>
        <v>ESNEKIAK</v>
      </c>
      <c r="W68" s="49"/>
      <c r="X68" s="49"/>
      <c r="AB68" s="3" t="s">
        <v>764</v>
      </c>
    </row>
    <row r="69" spans="1:99" ht="18.75" customHeight="1" x14ac:dyDescent="0.25">
      <c r="A69" s="8">
        <v>281</v>
      </c>
      <c r="B69" s="2" t="s">
        <v>2335</v>
      </c>
      <c r="C69" s="2" t="s">
        <v>2336</v>
      </c>
      <c r="D69" s="29" t="s">
        <v>2337</v>
      </c>
      <c r="E69" s="29" t="s">
        <v>2338</v>
      </c>
      <c r="F69" s="18">
        <v>28317</v>
      </c>
      <c r="G69" s="8">
        <f ca="1">DATEDIF(F69, TODAY(), "Y")</f>
        <v>49</v>
      </c>
      <c r="H69" s="2" t="s">
        <v>2308</v>
      </c>
      <c r="I69" s="2" t="s">
        <v>2922</v>
      </c>
      <c r="J69" s="29"/>
      <c r="L69" s="1">
        <v>661923670</v>
      </c>
      <c r="M69" s="30" t="s">
        <v>2339</v>
      </c>
      <c r="N69" s="31"/>
      <c r="O69" s="35"/>
      <c r="P69" s="65" t="s">
        <v>2340</v>
      </c>
      <c r="Q69" s="65" t="s">
        <v>3020</v>
      </c>
      <c r="R69" s="18" t="s">
        <v>772</v>
      </c>
      <c r="S69" s="18"/>
      <c r="T69" s="18"/>
      <c r="U69" s="2" t="str" cm="1">
        <f t="array" ref="U69">_xlfn.TEXTJOIN(", ", TRUE, IF(Y69:CG69="X", $Y$3:$CG$3, ""))</f>
        <v>Ardi gazta, Ardi haragia</v>
      </c>
      <c r="V69" s="18" t="str" cm="1">
        <f t="array" ref="V69">_xlfn.TEXTJOIN(", ", TRUE, IF(Y69:CG69="X", $Y$2:$CG$2, ""))</f>
        <v>ESNEKIAK, HARAGIA</v>
      </c>
      <c r="W69" s="2" t="str" cm="1">
        <f t="array" ref="W69">_xlfn.TEXTJOIN(", ", TRUE, IF(CH69:CS69="X", $CH$3:$CS$3, ""))</f>
        <v>Etxetik, Dendetan</v>
      </c>
      <c r="X69" s="2" t="str" cm="1">
        <f t="array" ref="X69">_xlfn.TEXTJOIN(", ", TRUE, IF(CT69:CX69="X", $CT$3:$CX$3, ""))</f>
        <v/>
      </c>
      <c r="AC69" s="3" t="s">
        <v>764</v>
      </c>
      <c r="AK69" s="3" t="s">
        <v>764</v>
      </c>
      <c r="CI69" s="3" t="s">
        <v>764</v>
      </c>
      <c r="CJ69" s="3" t="s">
        <v>764</v>
      </c>
    </row>
    <row r="70" spans="1:99" ht="18.75" customHeight="1" x14ac:dyDescent="0.25">
      <c r="A70" s="8">
        <v>303</v>
      </c>
      <c r="B70" s="2" t="s">
        <v>2451</v>
      </c>
      <c r="C70" s="2" t="s">
        <v>2452</v>
      </c>
      <c r="D70" s="29" t="s">
        <v>2453</v>
      </c>
      <c r="E70" s="29" t="s">
        <v>2454</v>
      </c>
      <c r="F70" s="18">
        <v>24463</v>
      </c>
      <c r="G70" s="8">
        <f ca="1">DATEDIF(F70, TODAY(), "Y")</f>
        <v>59</v>
      </c>
      <c r="H70" s="2" t="s">
        <v>2448</v>
      </c>
      <c r="I70" s="2" t="s">
        <v>1296</v>
      </c>
      <c r="J70" s="29"/>
      <c r="L70" s="1">
        <v>696296767</v>
      </c>
      <c r="M70" s="30" t="s">
        <v>2455</v>
      </c>
      <c r="N70" s="31"/>
      <c r="O70" s="35"/>
      <c r="P70" s="65" t="s">
        <v>2456</v>
      </c>
      <c r="Q70" s="65" t="s">
        <v>3020</v>
      </c>
      <c r="R70" s="18"/>
      <c r="S70" s="18"/>
      <c r="T70" s="18"/>
      <c r="U70" s="2" t="str" cm="1">
        <f t="array" ref="U70">_xlfn.TEXTJOIN(", ", TRUE, IF(Y70:CG70="X", $Y$3:$CG$3, ""))</f>
        <v>Barazkiak aire librean, Fruta, Sagarrak, Intxaurrak</v>
      </c>
      <c r="V70" s="18" t="str" cm="1">
        <f t="array" ref="V70">_xlfn.TEXTJOIN(", ", TRUE, IF(Y70:CG70="X", $Y$2:$CG$2, ""))</f>
        <v>BARAZKIAK, FRUTA, FRUTA, FRUITU LEHORRAK</v>
      </c>
      <c r="W70" s="2" t="str" cm="1">
        <f t="array" ref="W70">_xlfn.TEXTJOIN(", ", TRUE, IF(CH70:CS70="X", $CH$3:$CS$3, ""))</f>
        <v/>
      </c>
      <c r="X70" s="2" t="str" cm="1">
        <f t="array" ref="X70">_xlfn.TEXTJOIN(", ", TRUE, IF(CT70:CX70="X", $CT$3:$CX$3, ""))</f>
        <v>Ekologikoa</v>
      </c>
      <c r="AS70" s="65" t="s">
        <v>764</v>
      </c>
      <c r="BD70" s="65" t="s">
        <v>764</v>
      </c>
      <c r="BF70" s="65" t="s">
        <v>764</v>
      </c>
      <c r="BO70" s="65" t="s">
        <v>764</v>
      </c>
      <c r="CT70" s="65" t="s">
        <v>764</v>
      </c>
    </row>
    <row r="71" spans="1:99" ht="18.75" customHeight="1" x14ac:dyDescent="0.25">
      <c r="A71" s="8">
        <v>152</v>
      </c>
      <c r="B71" s="2" t="s">
        <v>1596</v>
      </c>
      <c r="C71" s="2" t="s">
        <v>1597</v>
      </c>
      <c r="D71" s="29" t="s">
        <v>1598</v>
      </c>
      <c r="E71" s="29" t="s">
        <v>1599</v>
      </c>
      <c r="F71" s="18">
        <v>25392</v>
      </c>
      <c r="G71" s="8">
        <f ca="1">DATEDIF(F71, TODAY(), "Y")</f>
        <v>57</v>
      </c>
      <c r="H71" s="2" t="s">
        <v>464</v>
      </c>
      <c r="I71" s="2" t="s">
        <v>1600</v>
      </c>
      <c r="J71" s="29"/>
      <c r="L71" s="1">
        <v>649455990</v>
      </c>
      <c r="M71" s="30" t="s">
        <v>1601</v>
      </c>
      <c r="N71" s="31"/>
      <c r="O71" s="31"/>
      <c r="P71" s="2" t="s">
        <v>3076</v>
      </c>
      <c r="Q71" s="2" t="s">
        <v>3019</v>
      </c>
      <c r="R71" s="18"/>
      <c r="S71" s="18"/>
      <c r="T71" s="18"/>
      <c r="U71" s="2" t="str" cm="1">
        <f t="array" ref="U71">_xlfn.TEXTJOIN(", ", TRUE, IF(Y71:CG71="X", $Y$3:$CG$3, ""))</f>
        <v>Barazkiak aire librean</v>
      </c>
      <c r="V71" s="18" t="str" cm="1">
        <f t="array" ref="V71">_xlfn.TEXTJOIN(", ", TRUE, IF(Y71:CG71="X", $Y$2:$CG$2, ""))</f>
        <v>BARAZKIAK</v>
      </c>
      <c r="W71" s="2" t="str" cm="1">
        <f t="array" ref="W71">_xlfn.TEXTJOIN(", ", TRUE, IF(CH71:CS71="X", $CH$3:$CS$3, ""))</f>
        <v/>
      </c>
      <c r="X71" s="2" t="str" cm="1">
        <f t="array" ref="X71">_xlfn.TEXTJOIN(", ", TRUE, IF(CT71:CX71="X", $CT$3:$CX$3, ""))</f>
        <v/>
      </c>
      <c r="AS71" s="65" t="s">
        <v>764</v>
      </c>
    </row>
    <row r="72" spans="1:99" ht="18.75" customHeight="1" x14ac:dyDescent="0.25">
      <c r="A72" s="8">
        <v>275</v>
      </c>
      <c r="B72" s="2" t="s">
        <v>2297</v>
      </c>
      <c r="C72" s="2" t="s">
        <v>2298</v>
      </c>
      <c r="D72" s="29" t="s">
        <v>2299</v>
      </c>
      <c r="E72" s="29" t="s">
        <v>2300</v>
      </c>
      <c r="F72" s="18">
        <v>24201</v>
      </c>
      <c r="G72" s="8">
        <f ca="1">DATEDIF(F72, TODAY(), "Y")</f>
        <v>60</v>
      </c>
      <c r="H72" s="2" t="s">
        <v>585</v>
      </c>
      <c r="I72" s="2" t="s">
        <v>1874</v>
      </c>
      <c r="J72" s="29"/>
      <c r="L72" s="1" t="s">
        <v>2301</v>
      </c>
      <c r="M72" s="30" t="s">
        <v>2302</v>
      </c>
      <c r="N72" s="31"/>
      <c r="O72" s="31"/>
      <c r="P72" s="2" t="s">
        <v>2303</v>
      </c>
      <c r="Q72" s="2" t="s">
        <v>3020</v>
      </c>
      <c r="R72" s="2" t="s">
        <v>772</v>
      </c>
      <c r="S72" s="2"/>
      <c r="T72" s="2"/>
      <c r="U72" s="2" t="str" cm="1">
        <f t="array" ref="U72">_xlfn.TEXTJOIN(", ", TRUE, IF(Y72:CG72="X", $Y$3:$CG$3, ""))</f>
        <v>Behi haragia</v>
      </c>
      <c r="V72" s="18" t="str" cm="1">
        <f t="array" ref="V72">_xlfn.TEXTJOIN(", ", TRUE, IF(Y72:CG72="X", $Y$2:$CG$2, ""))</f>
        <v>HARAGIA</v>
      </c>
      <c r="W72" s="2" t="str" cm="1">
        <f t="array" ref="W72">_xlfn.TEXTJOIN(", ", TRUE, IF(CH72:CS72="X", $CH$3:$CS$3, ""))</f>
        <v>Etxetik, Bertatik Bertara</v>
      </c>
      <c r="X72" s="2" t="str" cm="1">
        <f t="array" ref="X72">_xlfn.TEXTJOIN(", ", TRUE, IF(CT72:CX72="X", $CT$3:$CX$3, ""))</f>
        <v/>
      </c>
      <c r="AJ72" s="65" t="s">
        <v>764</v>
      </c>
      <c r="CI72" s="65" t="s">
        <v>764</v>
      </c>
      <c r="CR72" s="65" t="s">
        <v>764</v>
      </c>
    </row>
    <row r="73" spans="1:99" ht="18.75" customHeight="1" x14ac:dyDescent="0.25">
      <c r="A73" s="8">
        <v>110</v>
      </c>
      <c r="B73" s="2" t="s">
        <v>1356</v>
      </c>
      <c r="C73" s="2" t="s">
        <v>1357</v>
      </c>
      <c r="D73" s="29" t="s">
        <v>1358</v>
      </c>
      <c r="E73" s="29" t="s">
        <v>1359</v>
      </c>
      <c r="F73" s="18">
        <v>19539</v>
      </c>
      <c r="G73" s="8">
        <f ca="1">DATEDIF(F73, TODAY(), "Y")</f>
        <v>73</v>
      </c>
      <c r="H73" s="2" t="s">
        <v>537</v>
      </c>
      <c r="I73" s="2" t="s">
        <v>1360</v>
      </c>
      <c r="J73" s="29"/>
      <c r="L73" s="1">
        <v>676987135</v>
      </c>
      <c r="M73" s="30" t="s">
        <v>1361</v>
      </c>
      <c r="N73" s="31"/>
      <c r="O73" s="31"/>
      <c r="P73" s="2" t="s">
        <v>1362</v>
      </c>
      <c r="Q73" s="2" t="s">
        <v>3020</v>
      </c>
      <c r="R73" s="2" t="s">
        <v>1216</v>
      </c>
      <c r="S73" s="2"/>
      <c r="T73" s="2"/>
      <c r="U73" s="2" t="str" cm="1">
        <f t="array" ref="U73">_xlfn.TEXTJOIN(", ", TRUE, IF(Y73:CG73="X", $Y$3:$CG$3, ""))</f>
        <v>Barazkiak aire librean, Mermelada, Babarrunak, Fruta, Sagarrak</v>
      </c>
      <c r="V73" s="18" t="str" cm="1">
        <f t="array" ref="V73">_xlfn.TEXTJOIN(", ", TRUE, IF(Y73:CG73="X", $Y$2:$CG$2, ""))</f>
        <v>BARAZKIAK, ERATORRIAK, LEKALEAK, FRUTA, FRUTA</v>
      </c>
      <c r="W73" s="2" t="str" cm="1">
        <f t="array" ref="W73">_xlfn.TEXTJOIN(", ", TRUE, IF(CH73:CS73="X", $CH$3:$CS$3, ""))</f>
        <v>Etxetik, Dendetan, Harategian, Bertatik Bertara</v>
      </c>
      <c r="X73" s="2" t="str" cm="1">
        <f t="array" ref="X73">_xlfn.TEXTJOIN(", ", TRUE, IF(CT73:CX73="X", $CT$3:$CX$3, ""))</f>
        <v/>
      </c>
      <c r="AS73" s="65" t="s">
        <v>764</v>
      </c>
      <c r="AX73" s="65" t="s">
        <v>764</v>
      </c>
      <c r="AZ73" s="65" t="s">
        <v>764</v>
      </c>
      <c r="BD73" s="65" t="s">
        <v>764</v>
      </c>
      <c r="BF73" s="65" t="s">
        <v>764</v>
      </c>
      <c r="CI73" s="65" t="s">
        <v>764</v>
      </c>
      <c r="CJ73" s="65" t="s">
        <v>764</v>
      </c>
      <c r="CL73" s="65" t="s">
        <v>764</v>
      </c>
      <c r="CR73" s="65" t="s">
        <v>764</v>
      </c>
    </row>
    <row r="74" spans="1:99" ht="18.75" customHeight="1" x14ac:dyDescent="0.25">
      <c r="A74" s="8">
        <v>85</v>
      </c>
      <c r="B74" s="2" t="s">
        <v>1217</v>
      </c>
      <c r="C74" s="2" t="s">
        <v>1218</v>
      </c>
      <c r="D74" s="29" t="s">
        <v>1219</v>
      </c>
      <c r="E74" s="29" t="s">
        <v>1220</v>
      </c>
      <c r="F74" s="18">
        <v>33544</v>
      </c>
      <c r="G74" s="8">
        <f ca="1">DATEDIF(F74, TODAY(), "Y")</f>
        <v>34</v>
      </c>
      <c r="H74" s="2" t="s">
        <v>532</v>
      </c>
      <c r="I74" s="2" t="s">
        <v>1221</v>
      </c>
      <c r="J74" s="29"/>
      <c r="L74" s="1" t="s">
        <v>1222</v>
      </c>
      <c r="M74" s="30" t="s">
        <v>1223</v>
      </c>
      <c r="N74" s="31"/>
      <c r="O74" s="31"/>
      <c r="P74" s="2" t="s">
        <v>1224</v>
      </c>
      <c r="Q74" s="2" t="s">
        <v>3020</v>
      </c>
      <c r="R74" s="2" t="s">
        <v>1216</v>
      </c>
      <c r="S74" s="2"/>
      <c r="T74" s="2"/>
      <c r="U74" s="2" t="str" cm="1">
        <f t="array" ref="U74">_xlfn.TEXTJOIN(", ", TRUE, IF(Y74:CG74="X", $Y$3:$CG$3, ""))</f>
        <v>Fruta, Sagarrak, Ogia, Zukuak</v>
      </c>
      <c r="V74" s="18" t="str" cm="1">
        <f t="array" ref="V74">_xlfn.TEXTJOIN(", ", TRUE, IF(Y74:CG74="X", $Y$2:$CG$2, ""))</f>
        <v>FRUTA, FRUTA, OGIGINTZA, EDARIAK</v>
      </c>
      <c r="W74" s="2" t="str" cm="1">
        <f t="array" ref="W74">_xlfn.TEXTJOIN(", ", TRUE, IF(CH74:CS74="X", $CH$3:$CS$3, ""))</f>
        <v>Etxetik, Dendetan, Bertatik Bertara</v>
      </c>
      <c r="X74" s="2" t="str" cm="1">
        <f t="array" ref="X74">_xlfn.TEXTJOIN(", ", TRUE, IF(CT74:CX74="X", $CT$3:$CX$3, ""))</f>
        <v>Ekologikoa</v>
      </c>
      <c r="BD74" s="65" t="s">
        <v>764</v>
      </c>
      <c r="BF74" s="65" t="s">
        <v>764</v>
      </c>
      <c r="BX74" s="65" t="s">
        <v>764</v>
      </c>
      <c r="CF74" s="65" t="s">
        <v>764</v>
      </c>
      <c r="CI74" s="65" t="s">
        <v>764</v>
      </c>
      <c r="CJ74" s="65" t="s">
        <v>764</v>
      </c>
      <c r="CR74" s="65" t="s">
        <v>764</v>
      </c>
      <c r="CT74" s="65" t="s">
        <v>764</v>
      </c>
    </row>
    <row r="75" spans="1:99" ht="18.75" customHeight="1" x14ac:dyDescent="0.25">
      <c r="A75" s="8">
        <v>291</v>
      </c>
      <c r="B75" s="2" t="s">
        <v>2380</v>
      </c>
      <c r="C75" s="2" t="s">
        <v>2381</v>
      </c>
      <c r="D75" s="29" t="s">
        <v>2382</v>
      </c>
      <c r="E75" s="29" t="s">
        <v>2383</v>
      </c>
      <c r="F75" s="18">
        <v>22394</v>
      </c>
      <c r="G75" s="8">
        <f ca="1">DATEDIF(F75, TODAY(), "Y")</f>
        <v>65</v>
      </c>
      <c r="H75" s="2" t="s">
        <v>2308</v>
      </c>
      <c r="I75" s="2" t="s">
        <v>2384</v>
      </c>
      <c r="J75" s="29"/>
      <c r="L75" s="1">
        <v>652726250</v>
      </c>
      <c r="M75" s="30" t="s">
        <v>2385</v>
      </c>
      <c r="N75" s="31"/>
      <c r="O75" s="35"/>
      <c r="P75" s="65" t="s">
        <v>2386</v>
      </c>
      <c r="Q75" s="65"/>
      <c r="R75" s="18"/>
      <c r="S75" s="18"/>
      <c r="T75" s="18"/>
      <c r="U75" s="2" t="str" cm="1">
        <f t="array" ref="U75">_xlfn.TEXTJOIN(", ", TRUE, IF(Y75:CG75="X", $Y$3:$CG$3, ""))</f>
        <v/>
      </c>
      <c r="V75" s="18" t="str" cm="1">
        <f t="array" ref="V75">_xlfn.TEXTJOIN(", ", TRUE, IF(Y75:CG75="X", $Y$2:$CG$2, ""))</f>
        <v/>
      </c>
      <c r="W75" s="2" t="str" cm="1">
        <f t="array" ref="W75">_xlfn.TEXTJOIN(", ", TRUE, IF(CH75:CS75="X", $CH$3:$CS$3, ""))</f>
        <v/>
      </c>
      <c r="X75" s="2" t="str" cm="1">
        <f t="array" ref="X75">_xlfn.TEXTJOIN(", ", TRUE, IF(CT75:CX75="X", $CT$3:$CX$3, ""))</f>
        <v/>
      </c>
    </row>
    <row r="76" spans="1:99" ht="18.75" customHeight="1" x14ac:dyDescent="0.25">
      <c r="A76" s="8">
        <v>111</v>
      </c>
      <c r="B76" s="2" t="s">
        <v>1363</v>
      </c>
      <c r="C76" s="2" t="s">
        <v>1364</v>
      </c>
      <c r="D76" s="29" t="s">
        <v>1365</v>
      </c>
      <c r="E76" s="29" t="s">
        <v>1366</v>
      </c>
      <c r="F76" s="18">
        <v>25558</v>
      </c>
      <c r="G76" s="8">
        <f ca="1">DATEDIF(F76, TODAY(), "Y")</f>
        <v>56</v>
      </c>
      <c r="H76" s="2" t="s">
        <v>537</v>
      </c>
      <c r="I76" s="2" t="s">
        <v>1367</v>
      </c>
      <c r="J76" s="29"/>
      <c r="L76" s="1">
        <v>667474184</v>
      </c>
      <c r="M76" s="30" t="s">
        <v>1368</v>
      </c>
      <c r="N76" s="31"/>
      <c r="O76" s="31"/>
      <c r="P76" s="2" t="s">
        <v>1369</v>
      </c>
      <c r="Q76" s="29" t="s">
        <v>3019</v>
      </c>
      <c r="R76" s="65" t="s">
        <v>1370</v>
      </c>
      <c r="S76" s="65"/>
      <c r="T76" s="65"/>
      <c r="U76" s="2" t="str" cm="1">
        <f t="array" ref="U76">_xlfn.TEXTJOIN(", ", TRUE, IF(Y76:CG76="X", $Y$3:$CG$3, ""))</f>
        <v>Behi haragia</v>
      </c>
      <c r="V76" s="18" t="str" cm="1">
        <f t="array" ref="V76">_xlfn.TEXTJOIN(", ", TRUE, IF(Y76:CG76="X", $Y$2:$CG$2, ""))</f>
        <v>HARAGIA</v>
      </c>
      <c r="W76" s="2" t="str" cm="1">
        <f t="array" ref="W76">_xlfn.TEXTJOIN(", ", TRUE, IF(CH76:CS76="X", $CH$3:$CS$3, ""))</f>
        <v>Bertatik Bertara</v>
      </c>
      <c r="X76" s="2" t="str" cm="1">
        <f t="array" ref="X76">_xlfn.TEXTJOIN(", ", TRUE, IF(CT76:CX76="X", $CT$3:$CX$3, ""))</f>
        <v/>
      </c>
      <c r="AJ76" s="65" t="s">
        <v>764</v>
      </c>
      <c r="CR76" s="65" t="s">
        <v>764</v>
      </c>
    </row>
    <row r="77" spans="1:99" ht="18.75" customHeight="1" x14ac:dyDescent="0.25">
      <c r="A77" s="8">
        <v>342</v>
      </c>
      <c r="B77" s="2" t="s">
        <v>2670</v>
      </c>
      <c r="C77" s="2" t="s">
        <v>2671</v>
      </c>
      <c r="D77" s="29" t="s">
        <v>2672</v>
      </c>
      <c r="E77" s="29" t="s">
        <v>2673</v>
      </c>
      <c r="F77" s="18">
        <v>20544</v>
      </c>
      <c r="G77" s="8">
        <f ca="1">DATEDIF(F77, TODAY(), "Y")</f>
        <v>70</v>
      </c>
      <c r="H77" s="2" t="s">
        <v>476</v>
      </c>
      <c r="I77" s="2" t="s">
        <v>2674</v>
      </c>
      <c r="J77" s="29"/>
      <c r="L77" s="1" t="s">
        <v>2675</v>
      </c>
      <c r="M77" s="30" t="s">
        <v>2676</v>
      </c>
      <c r="N77" s="31"/>
      <c r="O77" s="31"/>
      <c r="P77" s="2" t="s">
        <v>2677</v>
      </c>
      <c r="Q77" s="2" t="s">
        <v>3019</v>
      </c>
      <c r="R77" s="2" t="s">
        <v>772</v>
      </c>
      <c r="S77" s="2"/>
      <c r="T77" s="2"/>
      <c r="U77" s="2" t="str" cm="1">
        <f t="array" ref="U77">_xlfn.TEXTJOIN(", ", TRUE, IF(Y77:CG77="X", $Y$3:$CG$3, ""))</f>
        <v>Behi haragia, Arrautzak, Barazkiak aire librean, Eztia</v>
      </c>
      <c r="V77" s="18" t="str" cm="1">
        <f t="array" ref="V77">_xlfn.TEXTJOIN(", ", TRUE, IF(Y77:CG77="X", $Y$2:$CG$2, ""))</f>
        <v>HARAGIA, OILOAK, BARAZKIAK, ERLEAK</v>
      </c>
      <c r="W77" s="2" t="str" cm="1">
        <f t="array" ref="W77">_xlfn.TEXTJOIN(", ", TRUE, IF(CH77:CS77="X", $CH$3:$CS$3, ""))</f>
        <v>Etxetik, Harategian, Bertatik Bertara</v>
      </c>
      <c r="X77" s="2" t="str" cm="1">
        <f t="array" ref="X77">_xlfn.TEXTJOIN(", ", TRUE, IF(CT77:CX77="X", $CT$3:$CX$3, ""))</f>
        <v/>
      </c>
      <c r="AJ77" s="2" t="s">
        <v>764</v>
      </c>
      <c r="AR77" s="65" t="s">
        <v>764</v>
      </c>
      <c r="AS77" s="65" t="s">
        <v>764</v>
      </c>
      <c r="BA77" s="65" t="s">
        <v>764</v>
      </c>
      <c r="CI77" s="2" t="s">
        <v>764</v>
      </c>
      <c r="CJ77" s="49"/>
      <c r="CL77" s="65" t="s">
        <v>764</v>
      </c>
      <c r="CP77" s="49"/>
      <c r="CQ77" s="38"/>
      <c r="CR77" s="65" t="s">
        <v>764</v>
      </c>
      <c r="CT77" s="49"/>
    </row>
    <row r="78" spans="1:99" ht="18.75" customHeight="1" x14ac:dyDescent="0.25">
      <c r="A78" s="8">
        <v>259</v>
      </c>
      <c r="B78" s="2" t="s">
        <v>2208</v>
      </c>
      <c r="C78" s="2" t="s">
        <v>2209</v>
      </c>
      <c r="D78" s="29" t="s">
        <v>2210</v>
      </c>
      <c r="E78" s="29" t="s">
        <v>2211</v>
      </c>
      <c r="F78" s="18">
        <v>25646</v>
      </c>
      <c r="G78" s="8">
        <f ca="1">DATEDIF(F78, TODAY(), "Y")</f>
        <v>56</v>
      </c>
      <c r="H78" s="2" t="s">
        <v>581</v>
      </c>
      <c r="I78" s="2" t="s">
        <v>1501</v>
      </c>
      <c r="J78" s="29"/>
      <c r="L78" s="1">
        <v>652719524</v>
      </c>
      <c r="M78" s="30" t="s">
        <v>2212</v>
      </c>
      <c r="N78" s="31"/>
      <c r="O78" s="35"/>
      <c r="P78" s="65" t="s">
        <v>2213</v>
      </c>
      <c r="Q78" s="65" t="s">
        <v>3020</v>
      </c>
      <c r="R78" s="2" t="s">
        <v>772</v>
      </c>
      <c r="S78" s="2"/>
      <c r="T78" s="2"/>
      <c r="U78" s="2" t="str" cm="1">
        <f t="array" ref="U78">_xlfn.TEXTJOIN(", ", TRUE, IF(Y78:CG78="X", $Y$3:$CG$3, ""))</f>
        <v>Behi haragia, Fruta, Intxaurrak</v>
      </c>
      <c r="V78" s="18" t="str" cm="1">
        <f t="array" ref="V78">_xlfn.TEXTJOIN(", ", TRUE, IF(Y78:CG78="X", $Y$2:$CG$2, ""))</f>
        <v>HARAGIA, FRUTA, FRUITU LEHORRAK</v>
      </c>
      <c r="W78" s="2" t="str" cm="1">
        <f t="array" ref="W78">_xlfn.TEXTJOIN(", ", TRUE, IF(CH78:CS78="X", $CH$3:$CS$3, ""))</f>
        <v>Etxetik, Biziola</v>
      </c>
      <c r="X78" s="2" t="str" cm="1">
        <f t="array" ref="X78">_xlfn.TEXTJOIN(", ", TRUE, IF(CT78:CX78="X", $CT$3:$CX$3, ""))</f>
        <v>Ekologikoa</v>
      </c>
      <c r="AJ78" s="65" t="s">
        <v>764</v>
      </c>
      <c r="BD78" s="65" t="s">
        <v>764</v>
      </c>
      <c r="BO78" s="65" t="s">
        <v>764</v>
      </c>
      <c r="CI78" s="65" t="s">
        <v>764</v>
      </c>
      <c r="CJ78" s="82"/>
      <c r="CP78" s="65" t="s">
        <v>764</v>
      </c>
      <c r="CQ78" s="65"/>
      <c r="CT78" s="65" t="s">
        <v>764</v>
      </c>
    </row>
    <row r="79" spans="1:99" ht="18.75" customHeight="1" x14ac:dyDescent="0.25">
      <c r="A79" s="8">
        <v>399</v>
      </c>
      <c r="B79" s="49"/>
      <c r="C79" s="49"/>
      <c r="D79" s="29"/>
      <c r="E79" s="29"/>
      <c r="F79" s="66"/>
      <c r="G79" s="8">
        <f ca="1">DATEDIF(F79, TODAY(), "Y")</f>
        <v>126</v>
      </c>
      <c r="H79" s="2" t="s">
        <v>2841</v>
      </c>
      <c r="I79" s="2" t="s">
        <v>2845</v>
      </c>
      <c r="J79" s="29"/>
      <c r="L79" s="1">
        <v>646961923</v>
      </c>
      <c r="M79" s="30" t="s">
        <v>2846</v>
      </c>
      <c r="N79" s="31"/>
      <c r="O79" s="31"/>
      <c r="P79" s="2" t="s">
        <v>2847</v>
      </c>
      <c r="Q79" s="2" t="s">
        <v>3019</v>
      </c>
      <c r="R79" s="2" t="s">
        <v>772</v>
      </c>
      <c r="S79" s="2"/>
      <c r="T79" s="2"/>
      <c r="U79" s="2" t="str" cm="1">
        <f t="array" ref="U79">_xlfn.TEXTJOIN(", ", TRUE, IF(Y79:CG79="X", $Y$3:$CG$3, ""))</f>
        <v>Zaldi haragia</v>
      </c>
      <c r="V79" s="18" t="str" cm="1">
        <f t="array" ref="V79">_xlfn.TEXTJOIN(", ", TRUE, IF(Y79:CG79="X", $Y$2:$CG$2, ""))</f>
        <v>HARAGIA</v>
      </c>
      <c r="W79" s="2" t="str" cm="1">
        <f t="array" ref="W79">_xlfn.TEXTJOIN(", ", TRUE, IF(CH79:CS79="X", $CH$3:$CS$3, ""))</f>
        <v>Azokak, Etxetik, Biziola</v>
      </c>
      <c r="X79" s="2" t="str" cm="1">
        <f t="array" ref="X79">_xlfn.TEXTJOIN(", ", TRUE, IF(CT79:CX79="X", $CT$3:$CX$3, ""))</f>
        <v>Ekologikoa</v>
      </c>
      <c r="AJ79" s="49"/>
      <c r="AL79" s="65" t="s">
        <v>764</v>
      </c>
      <c r="AR79" s="49"/>
      <c r="CH79" s="65" t="s">
        <v>764</v>
      </c>
      <c r="CI79" s="65" t="s">
        <v>764</v>
      </c>
      <c r="CP79" s="65" t="s">
        <v>764</v>
      </c>
      <c r="CQ79" s="65"/>
      <c r="CT79" s="65" t="s">
        <v>764</v>
      </c>
    </row>
    <row r="80" spans="1:99" ht="18.75" customHeight="1" x14ac:dyDescent="0.25">
      <c r="A80" s="8">
        <v>329</v>
      </c>
      <c r="B80" s="2" t="s">
        <v>2599</v>
      </c>
      <c r="C80" s="2" t="s">
        <v>2600</v>
      </c>
      <c r="D80" s="29" t="s">
        <v>2601</v>
      </c>
      <c r="E80" s="29" t="s">
        <v>2602</v>
      </c>
      <c r="F80" s="18">
        <v>19694</v>
      </c>
      <c r="G80" s="8">
        <f ca="1">DATEDIF(F80, TODAY(), "Y")</f>
        <v>72</v>
      </c>
      <c r="H80" s="2" t="s">
        <v>605</v>
      </c>
      <c r="I80" s="2" t="s">
        <v>2603</v>
      </c>
      <c r="J80" s="29"/>
      <c r="L80" s="1">
        <v>678111035</v>
      </c>
      <c r="M80" s="30" t="s">
        <v>2604</v>
      </c>
      <c r="N80" s="31"/>
      <c r="O80" s="31"/>
      <c r="P80" s="2" t="s">
        <v>2605</v>
      </c>
      <c r="Q80" s="2"/>
      <c r="R80" s="18"/>
      <c r="S80" s="18"/>
      <c r="T80" s="18"/>
      <c r="U80" s="2" t="str" cm="1">
        <f t="array" ref="U80">_xlfn.TEXTJOIN(", ", TRUE, IF(Y80:CG80="X", $Y$3:$CG$3, ""))</f>
        <v/>
      </c>
      <c r="V80" s="18" t="str" cm="1">
        <f t="array" ref="V80">_xlfn.TEXTJOIN(", ", TRUE, IF(Y80:CG80="X", $Y$2:$CG$2, ""))</f>
        <v/>
      </c>
      <c r="W80" s="2" t="str" cm="1">
        <f t="array" ref="W80">_xlfn.TEXTJOIN(", ", TRUE, IF(CH80:CS80="X", $CH$3:$CS$3, ""))</f>
        <v/>
      </c>
      <c r="X80" s="2" t="str" cm="1">
        <f t="array" ref="X80">_xlfn.TEXTJOIN(", ", TRUE, IF(CT80:CX80="X", $CT$3:$CX$3, ""))</f>
        <v/>
      </c>
      <c r="AJ80" s="82"/>
      <c r="AR80" s="82"/>
    </row>
    <row r="81" spans="1:102" ht="18.75" customHeight="1" x14ac:dyDescent="0.25">
      <c r="A81" s="8">
        <v>426</v>
      </c>
      <c r="B81" s="49"/>
      <c r="C81" s="49"/>
      <c r="D81" s="29" t="s">
        <v>3013</v>
      </c>
      <c r="E81" s="29" t="s">
        <v>3014</v>
      </c>
      <c r="F81" s="66"/>
      <c r="G81" s="8">
        <f ca="1">DATEDIF(F81, TODAY(), "Y")</f>
        <v>126</v>
      </c>
      <c r="H81" s="2" t="s">
        <v>605</v>
      </c>
      <c r="I81" s="49"/>
      <c r="J81" s="38"/>
      <c r="K81" s="65" t="s">
        <v>2899</v>
      </c>
      <c r="L81" s="1" t="s">
        <v>2900</v>
      </c>
      <c r="M81" s="30" t="s">
        <v>2901</v>
      </c>
      <c r="N81" s="31"/>
      <c r="O81" s="31"/>
      <c r="P81" s="2" t="s">
        <v>2902</v>
      </c>
      <c r="Q81" s="2" t="s">
        <v>3021</v>
      </c>
      <c r="R81" s="2" t="s">
        <v>772</v>
      </c>
      <c r="S81" s="2"/>
      <c r="T81" s="2"/>
      <c r="U81" s="2" t="str" cm="1">
        <f t="array" ref="U81">_xlfn.TEXTJOIN(", ", TRUE, IF(Y81:CG81="X", $Y$3:$CG$3, ""))</f>
        <v>Oilaskoak</v>
      </c>
      <c r="V81" s="18" t="str" cm="1">
        <f t="array" ref="V81">_xlfn.TEXTJOIN(", ", TRUE, IF(Y81:CG81="X", $Y$2:$CG$2, ""))</f>
        <v>HARAGIA</v>
      </c>
      <c r="W81" s="2" t="str" cm="1">
        <f t="array" ref="W81">_xlfn.TEXTJOIN(", ", TRUE, IF(CH81:CS81="X", $CH$3:$CS$3, ""))</f>
        <v/>
      </c>
      <c r="X81" s="2" t="str" cm="1">
        <f t="array" ref="X81">_xlfn.TEXTJOIN(", ", TRUE, IF(CT81:CX81="X", $CT$3:$CX$3, ""))</f>
        <v>Ekologikoa</v>
      </c>
      <c r="AN81" s="65" t="s">
        <v>764</v>
      </c>
      <c r="CT81" s="65" t="s">
        <v>764</v>
      </c>
    </row>
    <row r="82" spans="1:102" ht="18.75" customHeight="1" x14ac:dyDescent="0.25">
      <c r="A82" s="8">
        <v>84</v>
      </c>
      <c r="B82" s="2" t="s">
        <v>1208</v>
      </c>
      <c r="C82" s="2" t="s">
        <v>1209</v>
      </c>
      <c r="D82" s="29" t="s">
        <v>1210</v>
      </c>
      <c r="E82" s="29" t="s">
        <v>1211</v>
      </c>
      <c r="F82" s="18">
        <v>24415</v>
      </c>
      <c r="G82" s="8">
        <f ca="1">DATEDIF(F82, TODAY(), "Y")</f>
        <v>59</v>
      </c>
      <c r="H82" s="2" t="s">
        <v>532</v>
      </c>
      <c r="I82" s="2" t="s">
        <v>1212</v>
      </c>
      <c r="J82" s="29"/>
      <c r="L82" s="1" t="s">
        <v>1213</v>
      </c>
      <c r="M82" s="30" t="s">
        <v>1214</v>
      </c>
      <c r="N82" s="31"/>
      <c r="O82" s="31"/>
      <c r="P82" s="2" t="s">
        <v>1215</v>
      </c>
      <c r="Q82" s="29" t="s">
        <v>3020</v>
      </c>
      <c r="R82" s="65" t="s">
        <v>1216</v>
      </c>
      <c r="S82" s="65"/>
      <c r="T82" s="65"/>
      <c r="U82" s="2" t="str" cm="1">
        <f t="array" ref="U82">_xlfn.TEXTJOIN(", ", TRUE, IF(Y82:CG82="X", $Y$3:$CG$3, ""))</f>
        <v>Ardi haragia, Untxi haragia, Arrautzak, Barazkiak aire librean, Mermelada, Babarrunak</v>
      </c>
      <c r="V82" s="18" t="str" cm="1">
        <f t="array" ref="V82">_xlfn.TEXTJOIN(", ", TRUE, IF(Y82:CG82="X", $Y$2:$CG$2, ""))</f>
        <v>HARAGIA, HARAGIA, OILOAK, BARAZKIAK, ERATORRIAK, LEKALEAK</v>
      </c>
      <c r="W82" s="2" t="str" cm="1">
        <f t="array" ref="W82">_xlfn.TEXTJOIN(", ", TRUE, IF(CH82:CS82="X", $CH$3:$CS$3, ""))</f>
        <v>Azokak, Etxetik, Bertatik Bertara</v>
      </c>
      <c r="X82" s="2" t="str" cm="1">
        <f t="array" ref="X82">_xlfn.TEXTJOIN(", ", TRUE, IF(CT82:CX82="X", $CT$3:$CX$3, ""))</f>
        <v/>
      </c>
      <c r="AK82" s="65" t="s">
        <v>764</v>
      </c>
      <c r="AO82" s="65" t="s">
        <v>764</v>
      </c>
      <c r="AR82" s="65" t="s">
        <v>764</v>
      </c>
      <c r="AS82" s="65" t="s">
        <v>764</v>
      </c>
      <c r="AX82" s="65" t="s">
        <v>764</v>
      </c>
      <c r="AZ82" s="65" t="s">
        <v>764</v>
      </c>
      <c r="BX82" s="49"/>
      <c r="CH82" s="2" t="s">
        <v>764</v>
      </c>
      <c r="CI82" s="65" t="s">
        <v>764</v>
      </c>
      <c r="CR82" s="65" t="s">
        <v>764</v>
      </c>
      <c r="CW82" s="49"/>
      <c r="CX82" s="49"/>
    </row>
    <row r="83" spans="1:102" ht="18.75" customHeight="1" x14ac:dyDescent="0.25">
      <c r="A83" s="8">
        <v>345</v>
      </c>
      <c r="B83" s="2" t="s">
        <v>2691</v>
      </c>
      <c r="C83" s="2" t="s">
        <v>2692</v>
      </c>
      <c r="D83" s="29" t="s">
        <v>2693</v>
      </c>
      <c r="E83" s="29" t="s">
        <v>2694</v>
      </c>
      <c r="F83" s="18">
        <v>25285</v>
      </c>
      <c r="G83" s="8">
        <f ca="1">DATEDIF(F83, TODAY(), "Y")</f>
        <v>57</v>
      </c>
      <c r="H83" s="2" t="s">
        <v>476</v>
      </c>
      <c r="I83" s="2" t="s">
        <v>2695</v>
      </c>
      <c r="J83" s="29"/>
      <c r="L83" s="1">
        <v>679214067</v>
      </c>
      <c r="M83" s="30" t="s">
        <v>2696</v>
      </c>
      <c r="N83" s="31"/>
      <c r="O83" s="31"/>
      <c r="P83" s="2" t="s">
        <v>2697</v>
      </c>
      <c r="Q83" s="2"/>
      <c r="R83" s="18"/>
      <c r="S83" s="18"/>
      <c r="T83" s="18"/>
      <c r="U83" s="2" t="str" cm="1">
        <f t="array" ref="U83">_xlfn.TEXTJOIN(", ", TRUE, IF(Y83:CG83="X", $Y$3:$CG$3, ""))</f>
        <v/>
      </c>
      <c r="V83" s="18" t="str" cm="1">
        <f t="array" ref="V83">_xlfn.TEXTJOIN(", ", TRUE, IF(Y83:CG83="X", $Y$2:$CG$2, ""))</f>
        <v/>
      </c>
      <c r="W83" s="2" t="str" cm="1">
        <f t="array" ref="W83">_xlfn.TEXTJOIN(", ", TRUE, IF(CH83:CS83="X", $CH$3:$CS$3, ""))</f>
        <v/>
      </c>
      <c r="X83" s="2" t="str" cm="1">
        <f t="array" ref="X83">_xlfn.TEXTJOIN(", ", TRUE, IF(CT83:CX83="X", $CT$3:$CX$3, ""))</f>
        <v/>
      </c>
      <c r="AS83" s="49"/>
      <c r="AZ83" s="49"/>
      <c r="BD83" s="49"/>
      <c r="BX83" s="82"/>
      <c r="CH83" s="82"/>
      <c r="CW83" s="82"/>
      <c r="CX83" s="82"/>
    </row>
    <row r="84" spans="1:102" ht="18.75" customHeight="1" x14ac:dyDescent="0.25">
      <c r="A84" s="8">
        <v>160</v>
      </c>
      <c r="B84" s="2" t="s">
        <v>1643</v>
      </c>
      <c r="C84" s="2" t="s">
        <v>1644</v>
      </c>
      <c r="D84" s="29" t="s">
        <v>1645</v>
      </c>
      <c r="E84" s="29" t="s">
        <v>1646</v>
      </c>
      <c r="F84" s="18">
        <v>34602</v>
      </c>
      <c r="G84" s="8">
        <f ca="1">DATEDIF(F84, TODAY(), "Y")</f>
        <v>31</v>
      </c>
      <c r="H84" s="2" t="s">
        <v>464</v>
      </c>
      <c r="I84" s="2" t="s">
        <v>1647</v>
      </c>
      <c r="J84" s="29"/>
      <c r="L84" s="1">
        <v>629387945</v>
      </c>
      <c r="M84" s="30" t="s">
        <v>1648</v>
      </c>
      <c r="N84" s="31"/>
      <c r="O84" s="31"/>
      <c r="P84" s="2" t="s">
        <v>1649</v>
      </c>
      <c r="Q84" s="2" t="s">
        <v>3020</v>
      </c>
      <c r="R84" s="18"/>
      <c r="S84" s="18"/>
      <c r="T84" s="18"/>
      <c r="U84" s="2" t="str" cm="1">
        <f t="array" ref="U84">_xlfn.TEXTJOIN(", ", TRUE, IF(Y84:CG84="X", $Y$3:$CG$3, ""))</f>
        <v>Ardi gazta</v>
      </c>
      <c r="V84" s="18" t="str" cm="1">
        <f t="array" ref="V84">_xlfn.TEXTJOIN(", ", TRUE, IF(Y84:CG84="X", $Y$2:$CG$2, ""))</f>
        <v>ESNEKIAK</v>
      </c>
      <c r="W84" s="2" t="str" cm="1">
        <f t="array" ref="W84">_xlfn.TEXTJOIN(", ", TRUE, IF(CH84:CS84="X", $CH$3:$CS$3, ""))</f>
        <v/>
      </c>
      <c r="X84" s="2" t="str" cm="1">
        <f t="array" ref="X84">_xlfn.TEXTJOIN(", ", TRUE, IF(CT84:CX84="X", $CT$3:$CX$3, ""))</f>
        <v>DO Idiazabal, Artzai Gazta</v>
      </c>
      <c r="AC84" s="65" t="s">
        <v>764</v>
      </c>
      <c r="AK84" s="49"/>
      <c r="AO84" s="49"/>
      <c r="AR84" s="49"/>
      <c r="AS84" s="49"/>
      <c r="AX84" s="49"/>
      <c r="AZ84" s="49"/>
      <c r="BD84" s="82"/>
      <c r="CH84" s="49"/>
      <c r="CI84" s="49"/>
      <c r="CR84" s="49"/>
      <c r="CW84" s="65" t="s">
        <v>764</v>
      </c>
      <c r="CX84" s="65" t="s">
        <v>764</v>
      </c>
    </row>
    <row r="85" spans="1:102" ht="18.75" customHeight="1" x14ac:dyDescent="0.25">
      <c r="A85" s="8">
        <v>331</v>
      </c>
      <c r="B85" s="2" t="s">
        <v>2613</v>
      </c>
      <c r="C85" s="2" t="s">
        <v>2614</v>
      </c>
      <c r="D85" s="29" t="s">
        <v>2615</v>
      </c>
      <c r="E85" s="29" t="s">
        <v>2616</v>
      </c>
      <c r="F85" s="18">
        <v>21253</v>
      </c>
      <c r="G85" s="8">
        <f ca="1">DATEDIF(F85, TODAY(), "Y")</f>
        <v>68</v>
      </c>
      <c r="H85" s="2" t="s">
        <v>476</v>
      </c>
      <c r="I85" s="2" t="s">
        <v>2617</v>
      </c>
      <c r="J85" s="29"/>
      <c r="L85" s="1">
        <v>685793115</v>
      </c>
      <c r="M85" s="30" t="s">
        <v>2618</v>
      </c>
      <c r="N85" s="31"/>
      <c r="O85" s="31"/>
      <c r="P85" s="2" t="s">
        <v>2619</v>
      </c>
      <c r="Q85" s="2"/>
      <c r="R85" s="18"/>
      <c r="S85" s="18"/>
      <c r="T85" s="18"/>
      <c r="U85" s="2" t="str" cm="1">
        <f t="array" ref="U85">_xlfn.TEXTJOIN(", ", TRUE, IF(Y85:CG85="X", $Y$3:$CG$3, ""))</f>
        <v/>
      </c>
      <c r="V85" s="18" t="str" cm="1">
        <f t="array" ref="V85">_xlfn.TEXTJOIN(", ", TRUE, IF(Y85:CG85="X", $Y$2:$CG$2, ""))</f>
        <v/>
      </c>
      <c r="W85" s="2" t="str" cm="1">
        <f t="array" ref="W85">_xlfn.TEXTJOIN(", ", TRUE, IF(CH85:CS85="X", $CH$3:$CS$3, ""))</f>
        <v/>
      </c>
      <c r="X85" s="2" t="str" cm="1">
        <f t="array" ref="X85">_xlfn.TEXTJOIN(", ", TRUE, IF(CT85:CX85="X", $CT$3:$CX$3, ""))</f>
        <v/>
      </c>
      <c r="AK85" s="82"/>
      <c r="AO85" s="82"/>
      <c r="AR85" s="82"/>
      <c r="AS85" s="82"/>
      <c r="AX85" s="82"/>
      <c r="AZ85" s="82"/>
      <c r="BD85" s="49"/>
      <c r="BF85" s="49"/>
      <c r="BX85" s="49"/>
      <c r="CF85" s="49"/>
      <c r="CH85" s="82"/>
      <c r="CI85" s="49"/>
      <c r="CJ85" s="49"/>
      <c r="CR85" s="49"/>
      <c r="CT85" s="49"/>
    </row>
    <row r="86" spans="1:102" ht="18.75" customHeight="1" x14ac:dyDescent="0.25">
      <c r="A86" s="8">
        <v>263</v>
      </c>
      <c r="B86" s="2" t="s">
        <v>2229</v>
      </c>
      <c r="C86" s="2" t="s">
        <v>2230</v>
      </c>
      <c r="D86" s="29" t="s">
        <v>2231</v>
      </c>
      <c r="E86" s="29" t="s">
        <v>2232</v>
      </c>
      <c r="F86" s="18">
        <v>24214</v>
      </c>
      <c r="G86" s="8">
        <f ca="1">DATEDIF(F86, TODAY(), "Y")</f>
        <v>60</v>
      </c>
      <c r="H86" s="2" t="s">
        <v>585</v>
      </c>
      <c r="I86" s="2" t="s">
        <v>2233</v>
      </c>
      <c r="J86" s="29"/>
      <c r="L86" s="1">
        <v>638052432</v>
      </c>
      <c r="M86" s="30" t="s">
        <v>2234</v>
      </c>
      <c r="N86" s="31"/>
      <c r="O86" s="35"/>
      <c r="P86" s="65" t="s">
        <v>2235</v>
      </c>
      <c r="Q86" s="65" t="s">
        <v>3019</v>
      </c>
      <c r="R86" s="2" t="s">
        <v>1216</v>
      </c>
      <c r="S86" s="2"/>
      <c r="T86" s="2"/>
      <c r="U86" s="2" t="str" cm="1">
        <f t="array" ref="U86">_xlfn.TEXTJOIN(", ", TRUE, IF(Y86:CG86="X", $Y$3:$CG$3, ""))</f>
        <v>Oilaskoak, Eztia, Fruta, Sagarrak, Intxaurrak, Sagardoa, Zukuak</v>
      </c>
      <c r="V86" s="18" t="str" cm="1">
        <f t="array" ref="V86">_xlfn.TEXTJOIN(", ", TRUE, IF(Y86:CG86="X", $Y$2:$CG$2, ""))</f>
        <v>HARAGIA, ERLEAK, FRUTA, FRUTA, FRUITU LEHORRAK, EDARIAK, EDARIAK</v>
      </c>
      <c r="W86" s="2" t="str" cm="1">
        <f t="array" ref="W86">_xlfn.TEXTJOIN(", ", TRUE, IF(CH86:CS86="X", $CH$3:$CS$3, ""))</f>
        <v>Etxetik, Dendetan, Harategian, Bertatik Bertara</v>
      </c>
      <c r="X86" s="2" t="str" cm="1">
        <f t="array" ref="X86">_xlfn.TEXTJOIN(", ", TRUE, IF(CT86:CX86="X", $CT$3:$CX$3, ""))</f>
        <v>Ekologikoa</v>
      </c>
      <c r="AN86" s="65" t="s">
        <v>764</v>
      </c>
      <c r="BA86" s="65" t="s">
        <v>764</v>
      </c>
      <c r="BD86" s="65" t="s">
        <v>764</v>
      </c>
      <c r="BF86" s="65" t="s">
        <v>764</v>
      </c>
      <c r="BO86" s="65" t="s">
        <v>764</v>
      </c>
      <c r="BX86" s="82"/>
      <c r="CB86" s="65" t="s">
        <v>764</v>
      </c>
      <c r="CF86" s="65" t="s">
        <v>764</v>
      </c>
      <c r="CI86" s="65" t="s">
        <v>764</v>
      </c>
      <c r="CJ86" s="65" t="s">
        <v>764</v>
      </c>
      <c r="CL86" s="65" t="s">
        <v>764</v>
      </c>
      <c r="CR86" s="65" t="s">
        <v>764</v>
      </c>
      <c r="CT86" s="65" t="s">
        <v>764</v>
      </c>
    </row>
    <row r="87" spans="1:102" ht="18.75" customHeight="1" x14ac:dyDescent="0.25">
      <c r="A87" s="8">
        <v>188</v>
      </c>
      <c r="B87" s="2" t="s">
        <v>1815</v>
      </c>
      <c r="C87" s="2" t="s">
        <v>1816</v>
      </c>
      <c r="D87" s="29" t="s">
        <v>1817</v>
      </c>
      <c r="E87" s="29" t="s">
        <v>1818</v>
      </c>
      <c r="F87" s="18">
        <v>29618</v>
      </c>
      <c r="G87" s="8">
        <f ca="1">DATEDIF(F87, TODAY(), "Y")</f>
        <v>45</v>
      </c>
      <c r="H87" s="2" t="s">
        <v>468</v>
      </c>
      <c r="I87" s="2" t="s">
        <v>1819</v>
      </c>
      <c r="J87" s="29" t="s">
        <v>2927</v>
      </c>
      <c r="L87" s="1">
        <v>679794062</v>
      </c>
      <c r="M87" s="30" t="s">
        <v>1820</v>
      </c>
      <c r="N87" s="31"/>
      <c r="O87" s="36" t="s">
        <v>2934</v>
      </c>
      <c r="P87" s="65" t="s">
        <v>1821</v>
      </c>
      <c r="Q87" s="65" t="s">
        <v>3019</v>
      </c>
      <c r="R87" s="2" t="s">
        <v>772</v>
      </c>
      <c r="S87" s="49" t="s">
        <v>2933</v>
      </c>
      <c r="T87" s="49"/>
      <c r="U87" s="2" t="str" cm="1">
        <f t="array" ref="U87">_xlfn.TEXTJOIN(", ", TRUE, IF(Y87:CG87="X", $Y$3:$CG$3, ""))</f>
        <v>Ardi gazta, Mermelada, Membriloa, Babarrunak, Ogia, Madalenak</v>
      </c>
      <c r="V87" s="18" t="str" cm="1">
        <f t="array" ref="V87">_xlfn.TEXTJOIN(", ", TRUE, IF(Y87:CG87="X", $Y$2:$CG$2, ""))</f>
        <v>ESNEKIAK, ERATORRIAK, ERATORRIAK, LEKALEAK, OGIGINTZA, OGIGINTZA</v>
      </c>
      <c r="W87" s="2" t="str" cm="1">
        <f t="array" ref="W87">_xlfn.TEXTJOIN(", ", TRUE, IF(CH87:CS87="X", $CH$3:$CS$3, ""))</f>
        <v>Azokak, Etxetik</v>
      </c>
      <c r="X87" s="2" t="str" cm="1">
        <f t="array" ref="X87">_xlfn.TEXTJOIN(", ", TRUE, IF(CT87:CX87="X", $CT$3:$CX$3, ""))</f>
        <v>DO Idiazabal, Artzai Gazta</v>
      </c>
      <c r="Z87" s="65"/>
      <c r="AC87" s="65" t="s">
        <v>764</v>
      </c>
      <c r="AK87" s="65"/>
      <c r="AX87" s="65" t="s">
        <v>764</v>
      </c>
      <c r="AY87" s="65" t="s">
        <v>764</v>
      </c>
      <c r="AZ87" s="65" t="s">
        <v>764</v>
      </c>
      <c r="BX87" s="65" t="s">
        <v>764</v>
      </c>
      <c r="BZ87" s="65" t="s">
        <v>764</v>
      </c>
      <c r="CH87" s="65" t="s">
        <v>764</v>
      </c>
      <c r="CI87" s="65" t="s">
        <v>764</v>
      </c>
      <c r="CJ87" s="65"/>
      <c r="CL87" s="65"/>
      <c r="CR87" s="65"/>
      <c r="CW87" s="65" t="s">
        <v>764</v>
      </c>
      <c r="CX87" s="65" t="s">
        <v>764</v>
      </c>
    </row>
    <row r="88" spans="1:102" ht="18.75" customHeight="1" x14ac:dyDescent="0.25">
      <c r="A88" s="8">
        <v>197</v>
      </c>
      <c r="B88" s="2" t="s">
        <v>1862</v>
      </c>
      <c r="C88" s="2" t="s">
        <v>1863</v>
      </c>
      <c r="D88" s="29" t="s">
        <v>1864</v>
      </c>
      <c r="E88" s="29" t="s">
        <v>1865</v>
      </c>
      <c r="F88" s="18">
        <v>30756</v>
      </c>
      <c r="G88" s="8">
        <f ca="1">DATEDIF(F88, TODAY(), "Y")</f>
        <v>42</v>
      </c>
      <c r="H88" s="2" t="s">
        <v>468</v>
      </c>
      <c r="I88" s="2" t="s">
        <v>1866</v>
      </c>
      <c r="J88" s="29"/>
      <c r="L88" s="1" t="s">
        <v>1867</v>
      </c>
      <c r="M88" s="30" t="s">
        <v>1868</v>
      </c>
      <c r="N88" s="31"/>
      <c r="O88" s="35"/>
      <c r="P88" s="65" t="s">
        <v>1869</v>
      </c>
      <c r="Q88" s="65" t="s">
        <v>3020</v>
      </c>
      <c r="R88" s="2" t="s">
        <v>772</v>
      </c>
      <c r="S88" s="2"/>
      <c r="T88" s="2"/>
      <c r="U88" s="2" t="str" cm="1">
        <f t="array" ref="U88">_xlfn.TEXTJOIN(", ", TRUE, IF(Y88:CG88="X", $Y$3:$CG$3, ""))</f>
        <v>Behi haragia, Babarrunak</v>
      </c>
      <c r="V88" s="18" t="str" cm="1">
        <f t="array" ref="V88">_xlfn.TEXTJOIN(", ", TRUE, IF(Y88:CG88="X", $Y$2:$CG$2, ""))</f>
        <v>HARAGIA, LEKALEAK</v>
      </c>
      <c r="W88" s="2" t="str" cm="1">
        <f t="array" ref="W88">_xlfn.TEXTJOIN(", ", TRUE, IF(CH88:CS88="X", $CH$3:$CS$3, ""))</f>
        <v>Etxetik, Harategian, Bertatik Bertara</v>
      </c>
      <c r="X88" s="2" t="str" cm="1">
        <f t="array" ref="X88">_xlfn.TEXTJOIN(", ", TRUE, IF(CT88:CX88="X", $CT$3:$CX$3, ""))</f>
        <v/>
      </c>
      <c r="AJ88" s="65" t="s">
        <v>764</v>
      </c>
      <c r="AR88" s="49"/>
      <c r="AS88" s="49"/>
      <c r="AZ88" s="65" t="s">
        <v>764</v>
      </c>
      <c r="CI88" s="65" t="s">
        <v>764</v>
      </c>
      <c r="CL88" s="65" t="s">
        <v>764</v>
      </c>
      <c r="CR88" s="65" t="s">
        <v>764</v>
      </c>
    </row>
    <row r="89" spans="1:102" ht="18.75" customHeight="1" x14ac:dyDescent="0.25">
      <c r="A89" s="8">
        <v>302</v>
      </c>
      <c r="B89" s="2" t="s">
        <v>2444</v>
      </c>
      <c r="C89" s="2" t="s">
        <v>2445</v>
      </c>
      <c r="D89" s="29" t="s">
        <v>2446</v>
      </c>
      <c r="E89" s="29" t="s">
        <v>2447</v>
      </c>
      <c r="F89" s="18">
        <v>34697</v>
      </c>
      <c r="G89" s="8">
        <f ca="1">DATEDIF(F89, TODAY(), "Y")</f>
        <v>31</v>
      </c>
      <c r="H89" s="2" t="s">
        <v>2448</v>
      </c>
      <c r="I89" s="2" t="s">
        <v>2449</v>
      </c>
      <c r="J89" s="29"/>
      <c r="K89" s="3" t="s">
        <v>3115</v>
      </c>
      <c r="L89" s="1">
        <v>610052811</v>
      </c>
      <c r="M89" s="55" t="s">
        <v>3116</v>
      </c>
      <c r="N89" s="31"/>
      <c r="O89" s="31"/>
      <c r="P89" s="2" t="s">
        <v>2450</v>
      </c>
      <c r="Q89" s="2"/>
      <c r="R89" s="18"/>
      <c r="S89" s="18"/>
      <c r="T89" s="18"/>
      <c r="U89" s="2" t="str" cm="1">
        <f t="array" ref="U89">_xlfn.TEXTJOIN(", ", TRUE, IF(Y89:CG89="X", $Y$3:$CG$3, ""))</f>
        <v>Ardi gazta</v>
      </c>
      <c r="V89" s="18" t="str" cm="1">
        <f t="array" ref="V89">_xlfn.TEXTJOIN(", ", TRUE, IF(Y89:CG89="X", $Y$2:$CG$2, ""))</f>
        <v>ESNEKIAK</v>
      </c>
      <c r="W89" s="2" t="str" cm="1">
        <f t="array" ref="W89">_xlfn.TEXTJOIN(", ", TRUE, IF(CH89:CS89="X", $CH$3:$CS$3, ""))</f>
        <v/>
      </c>
      <c r="X89" s="2" t="str" cm="1">
        <f t="array" ref="X89">_xlfn.TEXTJOIN(", ", TRUE, IF(CT89:CX89="X", $CT$3:$CX$3, ""))</f>
        <v/>
      </c>
      <c r="AC89" s="3" t="s">
        <v>764</v>
      </c>
      <c r="AR89" s="82"/>
      <c r="AS89" s="82"/>
    </row>
    <row r="90" spans="1:102" ht="18.75" customHeight="1" x14ac:dyDescent="0.25">
      <c r="A90" s="8">
        <v>267</v>
      </c>
      <c r="B90" s="2" t="s">
        <v>2249</v>
      </c>
      <c r="C90" s="2" t="s">
        <v>2250</v>
      </c>
      <c r="D90" s="29" t="s">
        <v>2251</v>
      </c>
      <c r="E90" s="29" t="s">
        <v>2252</v>
      </c>
      <c r="F90" s="18">
        <v>29052</v>
      </c>
      <c r="G90" s="8">
        <f ca="1">DATEDIF(F90, TODAY(), "Y")</f>
        <v>47</v>
      </c>
      <c r="H90" s="2" t="s">
        <v>585</v>
      </c>
      <c r="I90" s="2" t="s">
        <v>2253</v>
      </c>
      <c r="J90" s="29"/>
      <c r="L90" s="1" t="s">
        <v>2254</v>
      </c>
      <c r="M90" s="30" t="s">
        <v>2255</v>
      </c>
      <c r="N90" s="31"/>
      <c r="O90" s="31"/>
      <c r="P90" s="2" t="s">
        <v>2256</v>
      </c>
      <c r="Q90" s="2" t="s">
        <v>3020</v>
      </c>
      <c r="R90" s="2" t="s">
        <v>772</v>
      </c>
      <c r="S90" s="2"/>
      <c r="T90" s="2"/>
      <c r="U90" s="2" t="str" cm="1">
        <f t="array" ref="U90">_xlfn.TEXTJOIN(", ", TRUE, IF(Y90:CG90="X", $Y$3:$CG$3, ""))</f>
        <v>Behi haragia, Sagarrak</v>
      </c>
      <c r="V90" s="18" t="str" cm="1">
        <f t="array" ref="V90">_xlfn.TEXTJOIN(", ", TRUE, IF(Y90:CG90="X", $Y$2:$CG$2, ""))</f>
        <v>HARAGIA, FRUTA</v>
      </c>
      <c r="W90" s="2" t="str" cm="1">
        <f t="array" ref="W90">_xlfn.TEXTJOIN(", ", TRUE, IF(CH90:CS90="X", $CH$3:$CS$3, ""))</f>
        <v>Bertatik Bertara</v>
      </c>
      <c r="X90" s="2" t="str" cm="1">
        <f t="array" ref="X90">_xlfn.TEXTJOIN(", ", TRUE, IF(CT90:CX90="X", $CT$3:$CX$3, ""))</f>
        <v/>
      </c>
      <c r="AJ90" s="65" t="s">
        <v>764</v>
      </c>
      <c r="BF90" s="65" t="s">
        <v>764</v>
      </c>
      <c r="CR90" s="65" t="s">
        <v>764</v>
      </c>
    </row>
    <row r="91" spans="1:102" ht="18.75" customHeight="1" x14ac:dyDescent="0.25">
      <c r="A91" s="8">
        <v>8</v>
      </c>
      <c r="B91" s="2" t="s">
        <v>792</v>
      </c>
      <c r="C91" s="2" t="s">
        <v>793</v>
      </c>
      <c r="D91" s="29" t="s">
        <v>794</v>
      </c>
      <c r="E91" s="29" t="s">
        <v>795</v>
      </c>
      <c r="F91" s="18"/>
      <c r="G91" s="8">
        <f ca="1">DATEDIF(F91, TODAY(), "Y")</f>
        <v>126</v>
      </c>
      <c r="H91" s="2" t="s">
        <v>769</v>
      </c>
      <c r="I91" s="2" t="s">
        <v>796</v>
      </c>
      <c r="J91" s="29"/>
      <c r="L91" s="1" t="s">
        <v>3036</v>
      </c>
      <c r="M91" s="30" t="s">
        <v>797</v>
      </c>
      <c r="N91" s="31"/>
      <c r="O91" s="79" t="s">
        <v>3037</v>
      </c>
      <c r="P91" s="65" t="s">
        <v>798</v>
      </c>
      <c r="Q91" s="65"/>
      <c r="R91" s="49" t="s">
        <v>772</v>
      </c>
      <c r="S91" s="49"/>
      <c r="T91" s="49"/>
      <c r="U91" s="2" t="str" cm="1">
        <f t="array" ref="U91">_xlfn.TEXTJOIN(", ", TRUE, IF(Y91:CG91="X", $Y$3:$CG$3, ""))</f>
        <v>Behi haragia</v>
      </c>
      <c r="V91" s="18" t="str" cm="1">
        <f t="array" ref="V91">_xlfn.TEXTJOIN(", ", TRUE, IF(Y91:CG91="X", $Y$2:$CG$2, ""))</f>
        <v>HARAGIA</v>
      </c>
      <c r="W91" s="2" t="str" cm="1">
        <f t="array" ref="W91">_xlfn.TEXTJOIN(", ", TRUE, IF(CH91:CS91="X", $CH$3:$CS$3, ""))</f>
        <v/>
      </c>
      <c r="X91" s="2" t="str" cm="1">
        <f t="array" ref="X91">_xlfn.TEXTJOIN(", ", TRUE, IF(CT91:CX91="X", $CT$3:$CX$3, ""))</f>
        <v/>
      </c>
      <c r="AJ91" s="3" t="s">
        <v>764</v>
      </c>
    </row>
    <row r="92" spans="1:102" ht="18.75" customHeight="1" x14ac:dyDescent="0.25">
      <c r="A92" s="8">
        <v>114</v>
      </c>
      <c r="B92" s="2" t="s">
        <v>1384</v>
      </c>
      <c r="C92" s="2" t="s">
        <v>1385</v>
      </c>
      <c r="D92" s="29" t="s">
        <v>1386</v>
      </c>
      <c r="E92" s="29" t="s">
        <v>1387</v>
      </c>
      <c r="F92" s="18">
        <v>24187</v>
      </c>
      <c r="G92" s="8">
        <f ca="1">DATEDIF(F92, TODAY(), "Y")</f>
        <v>60</v>
      </c>
      <c r="H92" s="2" t="s">
        <v>537</v>
      </c>
      <c r="I92" s="2" t="s">
        <v>1388</v>
      </c>
      <c r="J92" s="29"/>
      <c r="L92" s="1" t="s">
        <v>1389</v>
      </c>
      <c r="M92" s="30" t="s">
        <v>1390</v>
      </c>
      <c r="N92" s="31"/>
      <c r="O92" s="31"/>
      <c r="P92" s="2" t="s">
        <v>1391</v>
      </c>
      <c r="Q92" s="2" t="s">
        <v>3020</v>
      </c>
      <c r="R92" s="2" t="s">
        <v>1216</v>
      </c>
      <c r="S92" s="2"/>
      <c r="T92" s="2"/>
      <c r="U92" s="2" t="str" cm="1">
        <f t="array" ref="U92">_xlfn.TEXTJOIN(", ", TRUE, IF(Y92:CG92="X", $Y$3:$CG$3, ""))</f>
        <v>Barazkiak aire librean, Babarrunak, Fruta</v>
      </c>
      <c r="V92" s="18" t="str" cm="1">
        <f t="array" ref="V92">_xlfn.TEXTJOIN(", ", TRUE, IF(Y92:CG92="X", $Y$2:$CG$2, ""))</f>
        <v>BARAZKIAK, LEKALEAK, FRUTA</v>
      </c>
      <c r="W92" s="2" t="str" cm="1">
        <f t="array" ref="W92">_xlfn.TEXTJOIN(", ", TRUE, IF(CH92:CS92="X", $CH$3:$CS$3, ""))</f>
        <v>Bertatik Bertara</v>
      </c>
      <c r="X92" s="2" t="str" cm="1">
        <f t="array" ref="X92">_xlfn.TEXTJOIN(", ", TRUE, IF(CT92:CX92="X", $CT$3:$CX$3, ""))</f>
        <v/>
      </c>
      <c r="AS92" s="65" t="s">
        <v>764</v>
      </c>
      <c r="AZ92" s="3" t="s">
        <v>764</v>
      </c>
      <c r="BD92" s="3" t="s">
        <v>764</v>
      </c>
      <c r="CR92" s="65" t="s">
        <v>764</v>
      </c>
    </row>
    <row r="93" spans="1:102" ht="18.75" customHeight="1" x14ac:dyDescent="0.25">
      <c r="A93" s="8">
        <v>414</v>
      </c>
      <c r="B93" s="49"/>
      <c r="C93" s="49"/>
      <c r="D93" s="29"/>
      <c r="E93" s="29"/>
      <c r="F93" s="18"/>
      <c r="G93" s="8">
        <f ca="1">DATEDIF(F93, TODAY(), "Y")</f>
        <v>126</v>
      </c>
      <c r="H93" s="2" t="s">
        <v>468</v>
      </c>
      <c r="I93" s="2" t="s">
        <v>2877</v>
      </c>
      <c r="J93" s="29"/>
      <c r="L93" s="1">
        <v>687493935</v>
      </c>
      <c r="M93" s="30" t="s">
        <v>2878</v>
      </c>
      <c r="N93" s="31"/>
      <c r="O93" s="31"/>
      <c r="P93" s="2" t="s">
        <v>2879</v>
      </c>
      <c r="Q93" s="2" t="s">
        <v>3020</v>
      </c>
      <c r="R93" s="2" t="s">
        <v>1216</v>
      </c>
      <c r="S93" s="2"/>
      <c r="T93" s="2"/>
      <c r="U93" s="2" t="str" cm="1">
        <f t="array" ref="U93">_xlfn.TEXTJOIN(", ", TRUE, IF(Y93:CG93="X", $Y$3:$CG$3, ""))</f>
        <v>Behi haragia</v>
      </c>
      <c r="V93" s="18" t="str" cm="1">
        <f t="array" ref="V93">_xlfn.TEXTJOIN(", ", TRUE, IF(Y93:CG93="X", $Y$2:$CG$2, ""))</f>
        <v>HARAGIA</v>
      </c>
      <c r="W93" s="2" t="str" cm="1">
        <f t="array" ref="W93">_xlfn.TEXTJOIN(", ", TRUE, IF(CH93:CS93="X", $CH$3:$CS$3, ""))</f>
        <v>Harategian, Bertatik Bertara</v>
      </c>
      <c r="X93" s="2" t="str" cm="1">
        <f t="array" ref="X93">_xlfn.TEXTJOIN(", ", TRUE, IF(CT93:CX93="X", $CT$3:$CX$3, ""))</f>
        <v/>
      </c>
      <c r="AJ93" s="2" t="s">
        <v>764</v>
      </c>
      <c r="AL93" s="49"/>
      <c r="AS93" s="49"/>
      <c r="AT93" s="49"/>
      <c r="AX93" s="49"/>
      <c r="AZ93" s="49"/>
      <c r="BD93" s="49"/>
      <c r="BF93" s="49"/>
      <c r="BG93" s="49"/>
      <c r="BK93" s="49"/>
      <c r="BO93" s="49"/>
      <c r="BP93" s="49"/>
      <c r="BQ93" s="49"/>
      <c r="BR93" s="49"/>
      <c r="BS93" s="49"/>
      <c r="BT93" s="49"/>
      <c r="BU93" s="49"/>
      <c r="CB93" s="49"/>
      <c r="CF93" s="49"/>
      <c r="CJ93" s="49"/>
      <c r="CL93" s="2" t="s">
        <v>764</v>
      </c>
      <c r="CM93" s="49"/>
      <c r="CP93" s="49"/>
      <c r="CQ93" s="49"/>
      <c r="CR93" s="2" t="s">
        <v>764</v>
      </c>
      <c r="CS93" s="49"/>
      <c r="CT93" s="49"/>
      <c r="CV93" s="49"/>
    </row>
    <row r="94" spans="1:102" ht="18.75" customHeight="1" x14ac:dyDescent="0.25">
      <c r="A94" s="8">
        <v>219</v>
      </c>
      <c r="B94" s="2" t="s">
        <v>1974</v>
      </c>
      <c r="C94" s="2" t="s">
        <v>1975</v>
      </c>
      <c r="D94" s="29" t="s">
        <v>1976</v>
      </c>
      <c r="E94" s="29" t="s">
        <v>1977</v>
      </c>
      <c r="F94" s="18">
        <v>36330</v>
      </c>
      <c r="G94" s="8">
        <f ca="1">DATEDIF(F94, TODAY(), "Y")</f>
        <v>27</v>
      </c>
      <c r="H94" s="2" t="s">
        <v>1920</v>
      </c>
      <c r="I94" s="2" t="s">
        <v>1978</v>
      </c>
      <c r="J94" s="29"/>
      <c r="L94" s="1">
        <v>635206220</v>
      </c>
      <c r="M94" s="30" t="s">
        <v>1979</v>
      </c>
      <c r="N94" s="31"/>
      <c r="O94" s="35"/>
      <c r="P94" s="65" t="s">
        <v>1980</v>
      </c>
      <c r="Q94" s="65" t="s">
        <v>3020</v>
      </c>
      <c r="R94" s="18"/>
      <c r="S94" s="18"/>
      <c r="T94" s="18"/>
      <c r="U94" s="2" t="str" cm="1">
        <f t="array" ref="U94">_xlfn.TEXTJOIN(", ", TRUE, IF(Y94:CG94="X", $Y$3:$CG$3, ""))</f>
        <v>Behi esnea, Behi gazta, Behi haragia, Fruta</v>
      </c>
      <c r="V94" s="18" t="str" cm="1">
        <f t="array" ref="V94">_xlfn.TEXTJOIN(", ", TRUE, IF(Y94:CG94="X", $Y$2:$CG$2, ""))</f>
        <v>ESNEKIAK, ESNEKIAK, HARAGIA, FRUTA</v>
      </c>
      <c r="W94" s="2" t="str" cm="1">
        <f t="array" ref="W94">_xlfn.TEXTJOIN(", ", TRUE, IF(CH94:CS94="X", $CH$3:$CS$3, ""))</f>
        <v/>
      </c>
      <c r="X94" s="2" t="str" cm="1">
        <f t="array" ref="X94">_xlfn.TEXTJOIN(", ", TRUE, IF(CT94:CX94="X", $CT$3:$CX$3, ""))</f>
        <v>Ekologikoa</v>
      </c>
      <c r="Y94" s="65" t="s">
        <v>764</v>
      </c>
      <c r="AB94" s="65" t="s">
        <v>764</v>
      </c>
      <c r="AJ94" s="65" t="s">
        <v>764</v>
      </c>
      <c r="AL94" s="82"/>
      <c r="AS94" s="82"/>
      <c r="AT94" s="82"/>
      <c r="AX94" s="82"/>
      <c r="AZ94" s="82"/>
      <c r="BD94" s="65" t="s">
        <v>764</v>
      </c>
      <c r="BF94" s="82"/>
      <c r="BG94" s="82"/>
      <c r="BK94" s="82"/>
      <c r="BO94" s="82"/>
      <c r="BP94" s="82"/>
      <c r="BQ94" s="82"/>
      <c r="BR94" s="82"/>
      <c r="BS94" s="82"/>
      <c r="BT94" s="82"/>
      <c r="BU94" s="82"/>
      <c r="CB94" s="82"/>
      <c r="CF94" s="82"/>
      <c r="CJ94" s="82"/>
      <c r="CL94" s="82"/>
      <c r="CM94" s="82"/>
      <c r="CP94" s="82"/>
      <c r="CQ94" s="82"/>
      <c r="CR94" s="82"/>
      <c r="CS94" s="82"/>
      <c r="CT94" s="65" t="s">
        <v>764</v>
      </c>
      <c r="CV94" s="82"/>
    </row>
    <row r="95" spans="1:102" ht="18.75" customHeight="1" x14ac:dyDescent="0.25">
      <c r="A95" s="8">
        <v>257</v>
      </c>
      <c r="B95" s="2" t="s">
        <v>2195</v>
      </c>
      <c r="C95" s="2" t="s">
        <v>2196</v>
      </c>
      <c r="D95" s="29" t="s">
        <v>2197</v>
      </c>
      <c r="E95" s="29" t="s">
        <v>2198</v>
      </c>
      <c r="F95" s="18">
        <v>27968</v>
      </c>
      <c r="G95" s="8">
        <f ca="1">DATEDIF(F95, TODAY(), "Y")</f>
        <v>50</v>
      </c>
      <c r="H95" s="2" t="s">
        <v>581</v>
      </c>
      <c r="I95" s="2" t="s">
        <v>2199</v>
      </c>
      <c r="J95" s="29"/>
      <c r="L95" s="1" t="s">
        <v>2200</v>
      </c>
      <c r="M95" s="30" t="s">
        <v>316</v>
      </c>
      <c r="N95" s="31"/>
      <c r="O95" s="31"/>
      <c r="P95" s="2" t="s">
        <v>2201</v>
      </c>
      <c r="Q95" s="2" t="s">
        <v>3020</v>
      </c>
      <c r="R95" s="2" t="s">
        <v>772</v>
      </c>
      <c r="S95" s="2"/>
      <c r="T95" s="2"/>
      <c r="U95" s="2" t="str" cm="1">
        <f t="array" ref="U95">_xlfn.TEXTJOIN(", ", TRUE, IF(Y95:CG95="X", $Y$3:$CG$3, ""))</f>
        <v>Ardi gazta</v>
      </c>
      <c r="V95" s="18" t="str" cm="1">
        <f t="array" ref="V95">_xlfn.TEXTJOIN(", ", TRUE, IF(Y95:CG95="X", $Y$2:$CG$2, ""))</f>
        <v>ESNEKIAK</v>
      </c>
      <c r="W95" s="2" t="str" cm="1">
        <f t="array" ref="W95">_xlfn.TEXTJOIN(", ", TRUE, IF(CH95:CS95="X", $CH$3:$CS$3, ""))</f>
        <v/>
      </c>
      <c r="X95" s="2" t="str" cm="1">
        <f t="array" ref="X95">_xlfn.TEXTJOIN(", ", TRUE, IF(CT95:CX95="X", $CT$3:$CX$3, ""))</f>
        <v>DO Idiazabal, Artzai Gazta</v>
      </c>
      <c r="AC95" s="65" t="s">
        <v>764</v>
      </c>
      <c r="CW95" s="65" t="s">
        <v>764</v>
      </c>
      <c r="CX95" s="65" t="s">
        <v>764</v>
      </c>
    </row>
    <row r="96" spans="1:102" ht="18.75" customHeight="1" x14ac:dyDescent="0.25">
      <c r="A96" s="8">
        <v>262</v>
      </c>
      <c r="B96" s="2" t="s">
        <v>2220</v>
      </c>
      <c r="C96" s="2" t="s">
        <v>2221</v>
      </c>
      <c r="D96" s="29" t="s">
        <v>2222</v>
      </c>
      <c r="E96" s="29" t="s">
        <v>2223</v>
      </c>
      <c r="F96" s="18">
        <v>29745</v>
      </c>
      <c r="G96" s="8">
        <f ca="1">DATEDIF(F96, TODAY(), "Y")</f>
        <v>45</v>
      </c>
      <c r="H96" s="2" t="s">
        <v>585</v>
      </c>
      <c r="I96" s="2" t="s">
        <v>2226</v>
      </c>
      <c r="J96" s="29"/>
      <c r="L96" s="1">
        <v>609156182</v>
      </c>
      <c r="M96" s="30" t="s">
        <v>2227</v>
      </c>
      <c r="N96" s="31"/>
      <c r="O96" s="31"/>
      <c r="P96" s="2" t="s">
        <v>2228</v>
      </c>
      <c r="Q96" s="2" t="s">
        <v>3020</v>
      </c>
      <c r="R96" s="18"/>
      <c r="S96" s="18"/>
      <c r="T96" s="18"/>
      <c r="U96" s="2" t="str" cm="1">
        <f t="array" ref="U96">_xlfn.TEXTJOIN(", ", TRUE, IF(Y96:CG96="X", $Y$3:$CG$3, ""))</f>
        <v>Eztia, Propoleoa</v>
      </c>
      <c r="V96" s="18" t="str" cm="1">
        <f t="array" ref="V96">_xlfn.TEXTJOIN(", ", TRUE, IF(Y96:CG96="X", $Y$2:$CG$2, ""))</f>
        <v>ERLEAK, ERLEAK</v>
      </c>
      <c r="W96" s="2" t="str" cm="1">
        <f t="array" ref="W96">_xlfn.TEXTJOIN(", ", TRUE, IF(CH96:CS96="X", $CH$3:$CS$3, ""))</f>
        <v/>
      </c>
      <c r="X96" s="2" t="str" cm="1">
        <f t="array" ref="X96">_xlfn.TEXTJOIN(", ", TRUE, IF(CT96:CX96="X", $CT$3:$CX$3, ""))</f>
        <v>Ekologikoa</v>
      </c>
      <c r="AJ96" s="49"/>
      <c r="AK96" s="49"/>
      <c r="AS96" s="49"/>
      <c r="AZ96" s="49"/>
      <c r="BA96" s="65" t="s">
        <v>764</v>
      </c>
      <c r="BC96" s="65" t="s">
        <v>764</v>
      </c>
      <c r="BD96" s="49"/>
      <c r="BF96" s="49"/>
      <c r="BJ96" s="49"/>
      <c r="BO96" s="49"/>
      <c r="CR96" s="49"/>
      <c r="CT96" s="65" t="s">
        <v>764</v>
      </c>
    </row>
    <row r="97" spans="1:102" ht="18.75" customHeight="1" x14ac:dyDescent="0.25">
      <c r="A97" s="8">
        <v>73</v>
      </c>
      <c r="B97" s="2" t="s">
        <v>1146</v>
      </c>
      <c r="C97" s="2" t="s">
        <v>1147</v>
      </c>
      <c r="D97" s="29" t="s">
        <v>1148</v>
      </c>
      <c r="E97" s="29" t="s">
        <v>1149</v>
      </c>
      <c r="F97" s="18">
        <v>20077</v>
      </c>
      <c r="G97" s="8">
        <f ca="1">DATEDIF(F97, TODAY(), "Y")</f>
        <v>71</v>
      </c>
      <c r="H97" s="2" t="s">
        <v>457</v>
      </c>
      <c r="I97" s="2" t="s">
        <v>1150</v>
      </c>
      <c r="J97" s="29"/>
      <c r="L97" s="1">
        <v>688674174</v>
      </c>
      <c r="M97" s="30" t="s">
        <v>1151</v>
      </c>
      <c r="N97" s="31"/>
      <c r="O97" s="35"/>
      <c r="P97" s="65" t="s">
        <v>1152</v>
      </c>
      <c r="Q97" s="65"/>
      <c r="R97" s="18"/>
      <c r="S97" s="18"/>
      <c r="T97" s="18"/>
      <c r="U97" s="2" t="str" cm="1">
        <f t="array" ref="U97">_xlfn.TEXTJOIN(", ", TRUE, IF(Y97:CG97="X", $Y$3:$CG$3, ""))</f>
        <v>Txerrikiak, Intxaurrak</v>
      </c>
      <c r="V97" s="18" t="str" cm="1">
        <f t="array" ref="V97">_xlfn.TEXTJOIN(", ", TRUE, IF(Y97:CG97="X", $Y$2:$CG$2, ""))</f>
        <v>HARAGIA, FRUITU LEHORRAK</v>
      </c>
      <c r="W97" s="2" t="str" cm="1">
        <f t="array" ref="W97">_xlfn.TEXTJOIN(", ", TRUE, IF(CH97:CS97="X", $CH$3:$CS$3, ""))</f>
        <v/>
      </c>
      <c r="X97" s="2" t="str" cm="1">
        <f t="array" ref="X97">_xlfn.TEXTJOIN(", ", TRUE, IF(CT97:CX97="X", $CT$3:$CX$3, ""))</f>
        <v/>
      </c>
      <c r="AJ97" s="82"/>
      <c r="AK97" s="82"/>
      <c r="AM97" s="3" t="s">
        <v>764</v>
      </c>
      <c r="AS97" s="82"/>
      <c r="AZ97" s="82"/>
      <c r="BD97" s="82"/>
      <c r="BF97" s="82"/>
      <c r="BJ97" s="82"/>
      <c r="BO97" s="82" t="s">
        <v>764</v>
      </c>
      <c r="CR97" s="82"/>
    </row>
    <row r="98" spans="1:102" ht="18.75" customHeight="1" x14ac:dyDescent="0.25">
      <c r="A98" s="8">
        <v>7</v>
      </c>
      <c r="B98" s="2" t="s">
        <v>785</v>
      </c>
      <c r="C98" s="2" t="s">
        <v>786</v>
      </c>
      <c r="D98" s="29" t="s">
        <v>787</v>
      </c>
      <c r="E98" s="29" t="s">
        <v>788</v>
      </c>
      <c r="F98" s="18">
        <v>24230</v>
      </c>
      <c r="G98" s="8">
        <f ca="1">DATEDIF(F98, TODAY(), "Y")</f>
        <v>60</v>
      </c>
      <c r="H98" s="2" t="s">
        <v>769</v>
      </c>
      <c r="I98" s="2" t="s">
        <v>789</v>
      </c>
      <c r="J98" s="29"/>
      <c r="L98" s="1">
        <v>653709298</v>
      </c>
      <c r="M98" s="30" t="s">
        <v>790</v>
      </c>
      <c r="N98" s="31"/>
      <c r="O98" s="77"/>
      <c r="P98" s="65" t="s">
        <v>791</v>
      </c>
      <c r="Q98" s="65" t="s">
        <v>3020</v>
      </c>
      <c r="R98" s="65" t="s">
        <v>772</v>
      </c>
      <c r="S98" s="65"/>
      <c r="T98" s="65"/>
      <c r="U98" s="2" t="str" cm="1">
        <f t="array" ref="U98">_xlfn.TEXTJOIN(", ", TRUE, IF(Y98:CG98="X", $Y$3:$CG$3, ""))</f>
        <v>Barazkiak aire librean, Babarrunak, Fruta, Intxaurrak</v>
      </c>
      <c r="V98" s="18" t="str" cm="1">
        <f t="array" ref="V98">_xlfn.TEXTJOIN(", ", TRUE, IF(Y98:CG98="X", $Y$2:$CG$2, ""))</f>
        <v>BARAZKIAK, LEKALEAK, FRUTA, FRUITU LEHORRAK</v>
      </c>
      <c r="W98" s="2" t="str" cm="1">
        <f t="array" ref="W98">_xlfn.TEXTJOIN(", ", TRUE, IF(CH98:CS98="X", $CH$3:$CS$3, ""))</f>
        <v>Azokak, Online, Biziola</v>
      </c>
      <c r="X98" s="2" t="str" cm="1">
        <f t="array" ref="X98">_xlfn.TEXTJOIN(", ", TRUE, IF(CT98:CX98="X", $CT$3:$CX$3, ""))</f>
        <v/>
      </c>
      <c r="AS98" s="65" t="s">
        <v>764</v>
      </c>
      <c r="AZ98" s="3" t="s">
        <v>764</v>
      </c>
      <c r="BD98" s="3" t="s">
        <v>764</v>
      </c>
      <c r="BO98" s="65" t="s">
        <v>764</v>
      </c>
      <c r="CH98" s="65" t="s">
        <v>764</v>
      </c>
      <c r="CO98" s="65" t="s">
        <v>764</v>
      </c>
      <c r="CP98" s="65" t="s">
        <v>764</v>
      </c>
      <c r="CQ98" s="65"/>
    </row>
    <row r="99" spans="1:102" ht="18.75" customHeight="1" x14ac:dyDescent="0.25">
      <c r="A99" s="8">
        <v>23</v>
      </c>
      <c r="B99" s="2" t="s">
        <v>880</v>
      </c>
      <c r="C99" s="2" t="s">
        <v>881</v>
      </c>
      <c r="D99" s="29" t="s">
        <v>882</v>
      </c>
      <c r="E99" s="29" t="s">
        <v>883</v>
      </c>
      <c r="F99" s="18">
        <v>20884</v>
      </c>
      <c r="G99" s="8">
        <f ca="1">DATEDIF(F99, TODAY(), "Y")</f>
        <v>69</v>
      </c>
      <c r="H99" s="2" t="s">
        <v>803</v>
      </c>
      <c r="I99" s="2" t="s">
        <v>884</v>
      </c>
      <c r="J99" s="2"/>
      <c r="K99" s="49"/>
      <c r="L99" s="1">
        <v>618609441</v>
      </c>
      <c r="M99" s="30" t="s">
        <v>3042</v>
      </c>
      <c r="N99" s="31"/>
      <c r="O99" s="35"/>
      <c r="P99" s="65" t="s">
        <v>885</v>
      </c>
      <c r="Q99" s="65"/>
      <c r="R99" s="18"/>
      <c r="S99" s="18"/>
      <c r="T99" s="18"/>
      <c r="U99" s="2" t="str" cm="1">
        <f t="array" ref="U99">_xlfn.TEXTJOIN(", ", TRUE, IF(Y99:CG99="X", $Y$3:$CG$3, ""))</f>
        <v>Ardi haragia, Barazkiak aire librean</v>
      </c>
      <c r="V99" s="18" t="str" cm="1">
        <f t="array" ref="V99">_xlfn.TEXTJOIN(", ", TRUE, IF(Y99:CG99="X", $Y$2:$CG$2, ""))</f>
        <v>HARAGIA, BARAZKIAK</v>
      </c>
      <c r="W99" s="2" t="str" cm="1">
        <f t="array" ref="W99">_xlfn.TEXTJOIN(", ", TRUE, IF(CH99:CS99="X", $CH$3:$CS$3, ""))</f>
        <v/>
      </c>
      <c r="X99" s="2" t="str" cm="1">
        <f t="array" ref="X99">_xlfn.TEXTJOIN(", ", TRUE, IF(CT99:CX99="X", $CT$3:$CX$3, ""))</f>
        <v/>
      </c>
      <c r="AK99" s="3" t="s">
        <v>764</v>
      </c>
      <c r="AS99" s="3" t="s">
        <v>764</v>
      </c>
      <c r="AT99" s="49"/>
    </row>
    <row r="100" spans="1:102" ht="18.75" customHeight="1" x14ac:dyDescent="0.25">
      <c r="A100" s="62"/>
      <c r="B100" s="49"/>
      <c r="C100" s="49"/>
      <c r="D100" s="29" t="s">
        <v>3096</v>
      </c>
      <c r="E100" s="29" t="s">
        <v>3097</v>
      </c>
      <c r="F100" s="66"/>
      <c r="G100" s="62"/>
      <c r="H100" s="2" t="s">
        <v>457</v>
      </c>
      <c r="I100" s="49" t="s">
        <v>3046</v>
      </c>
      <c r="J100" s="38"/>
      <c r="K100" s="82"/>
      <c r="L100" s="1">
        <v>699864847</v>
      </c>
      <c r="M100" s="30" t="s">
        <v>3047</v>
      </c>
      <c r="N100" s="49"/>
      <c r="O100" s="38"/>
      <c r="P100" s="3" t="s">
        <v>3048</v>
      </c>
      <c r="R100" s="82"/>
      <c r="S100" s="82"/>
      <c r="T100" s="82"/>
      <c r="U100" s="2" t="str" cm="1">
        <f t="array" ref="U100">_xlfn.TEXTJOIN(", ", TRUE, IF(Y100:CG100="X", $Y$3:$CG$3, ""))</f>
        <v>Ogia, Opilak</v>
      </c>
      <c r="V100" s="18" t="str" cm="1">
        <f t="array" ref="V100">_xlfn.TEXTJOIN(", ", TRUE, IF(Y100:CG100="X", $Y$2:$CG$2, ""))</f>
        <v>OGIGINTZA, OGIGINTZA</v>
      </c>
      <c r="W100" s="49"/>
      <c r="X100" s="49"/>
      <c r="AT100" s="82"/>
      <c r="BX100" s="3" t="s">
        <v>764</v>
      </c>
      <c r="BY100" s="3" t="s">
        <v>764</v>
      </c>
    </row>
    <row r="101" spans="1:102" ht="18.75" customHeight="1" x14ac:dyDescent="0.25">
      <c r="A101" s="8">
        <v>181</v>
      </c>
      <c r="B101" s="2" t="s">
        <v>1771</v>
      </c>
      <c r="C101" s="2" t="s">
        <v>1772</v>
      </c>
      <c r="D101" s="29" t="s">
        <v>1773</v>
      </c>
      <c r="E101" s="29" t="s">
        <v>1774</v>
      </c>
      <c r="F101" s="18">
        <v>18486</v>
      </c>
      <c r="G101" s="8">
        <f ca="1">DATEDIF(F101, TODAY(), "Y")</f>
        <v>75</v>
      </c>
      <c r="H101" s="2" t="s">
        <v>468</v>
      </c>
      <c r="I101" s="2" t="s">
        <v>1775</v>
      </c>
      <c r="J101" s="29"/>
      <c r="L101" s="1" t="s">
        <v>1776</v>
      </c>
      <c r="M101" s="30" t="s">
        <v>1777</v>
      </c>
      <c r="N101" s="31"/>
      <c r="O101" s="31"/>
      <c r="P101" s="2" t="s">
        <v>1778</v>
      </c>
      <c r="Q101" s="2" t="s">
        <v>3020</v>
      </c>
      <c r="R101" s="2" t="s">
        <v>1216</v>
      </c>
      <c r="S101" s="2"/>
      <c r="T101" s="2"/>
      <c r="U101" s="2" t="str" cm="1">
        <f t="array" ref="U101">_xlfn.TEXTJOIN(", ", TRUE, IF(Y101:CG101="X", $Y$3:$CG$3, ""))</f>
        <v>Behi esnea, Arrautzak, Barazkiak aire librean, Babarrunak, Eztia, Ogia</v>
      </c>
      <c r="V101" s="18" t="str" cm="1">
        <f t="array" ref="V101">_xlfn.TEXTJOIN(", ", TRUE, IF(Y101:CG101="X", $Y$2:$CG$2, ""))</f>
        <v>ESNEKIAK, OILOAK, BARAZKIAK, LEKALEAK, ERLEAK, OGIGINTZA</v>
      </c>
      <c r="W101" s="2" t="str" cm="1">
        <f t="array" ref="W101">_xlfn.TEXTJOIN(", ", TRUE, IF(CH101:CS101="X", $CH$3:$CS$3, ""))</f>
        <v>Etxetik, Bertatik Bertara</v>
      </c>
      <c r="X101" s="2" t="str" cm="1">
        <f t="array" ref="X101">_xlfn.TEXTJOIN(", ", TRUE, IF(CT101:CX101="X", $CT$3:$CX$3, ""))</f>
        <v/>
      </c>
      <c r="Y101" s="65" t="s">
        <v>764</v>
      </c>
      <c r="AN101" s="49"/>
      <c r="AR101" s="65" t="s">
        <v>764</v>
      </c>
      <c r="AS101" s="65" t="s">
        <v>764</v>
      </c>
      <c r="AZ101" s="65" t="s">
        <v>764</v>
      </c>
      <c r="BA101" s="2" t="s">
        <v>764</v>
      </c>
      <c r="BX101" s="65" t="s">
        <v>764</v>
      </c>
      <c r="CI101" s="65" t="s">
        <v>764</v>
      </c>
      <c r="CR101" s="65" t="s">
        <v>764</v>
      </c>
    </row>
    <row r="102" spans="1:102" ht="18.75" customHeight="1" x14ac:dyDescent="0.25">
      <c r="A102" s="8">
        <v>16</v>
      </c>
      <c r="B102" s="2" t="s">
        <v>839</v>
      </c>
      <c r="C102" s="2" t="s">
        <v>840</v>
      </c>
      <c r="D102" s="29" t="s">
        <v>841</v>
      </c>
      <c r="E102" s="29" t="s">
        <v>842</v>
      </c>
      <c r="F102" s="18"/>
      <c r="G102" s="8">
        <f ca="1">DATEDIF(F102, TODAY(), "Y")</f>
        <v>126</v>
      </c>
      <c r="H102" s="2" t="s">
        <v>803</v>
      </c>
      <c r="I102" s="2" t="s">
        <v>843</v>
      </c>
      <c r="J102" s="29"/>
      <c r="L102" s="1">
        <v>608973515</v>
      </c>
      <c r="M102" s="30" t="s">
        <v>844</v>
      </c>
      <c r="N102" s="31"/>
      <c r="O102" s="31"/>
      <c r="P102" s="2" t="s">
        <v>845</v>
      </c>
      <c r="Q102" s="2" t="s">
        <v>3021</v>
      </c>
      <c r="R102" s="49"/>
      <c r="S102" s="49"/>
      <c r="T102" s="49"/>
      <c r="U102" s="2" t="str" cm="1">
        <f t="array" ref="U102">_xlfn.TEXTJOIN(", ", TRUE, IF(Y102:CG102="X", $Y$3:$CG$3, ""))</f>
        <v>Ardi gazta</v>
      </c>
      <c r="V102" s="18" t="str" cm="1">
        <f t="array" ref="V102">_xlfn.TEXTJOIN(", ", TRUE, IF(Y102:CG102="X", $Y$2:$CG$2, ""))</f>
        <v>ESNEKIAK</v>
      </c>
      <c r="W102" s="2" t="str" cm="1">
        <f t="array" ref="W102">_xlfn.TEXTJOIN(", ", TRUE, IF(CH102:CS102="X", $CH$3:$CS$3, ""))</f>
        <v/>
      </c>
      <c r="X102" s="2" t="str" cm="1">
        <f t="array" ref="X102">_xlfn.TEXTJOIN(", ", TRUE, IF(CT102:CX102="X", $CT$3:$CX$3, ""))</f>
        <v>DO Idiazabal, Artzai Gazta</v>
      </c>
      <c r="Z102" s="49"/>
      <c r="AC102" s="2" t="s">
        <v>764</v>
      </c>
      <c r="AD102" s="49"/>
      <c r="AE102" s="49"/>
      <c r="AK102" s="49"/>
      <c r="AN102" s="82"/>
      <c r="AP102" s="49"/>
      <c r="AX102" s="49"/>
      <c r="AZ102" s="49"/>
      <c r="BA102" s="82"/>
      <c r="BO102" s="49"/>
      <c r="CI102" s="49"/>
      <c r="CJ102" s="49"/>
      <c r="CL102" s="49"/>
      <c r="CR102" s="49"/>
      <c r="CW102" s="2" t="s">
        <v>764</v>
      </c>
      <c r="CX102" s="2" t="s">
        <v>764</v>
      </c>
    </row>
    <row r="103" spans="1:102" ht="18.75" customHeight="1" x14ac:dyDescent="0.25">
      <c r="A103" s="8">
        <v>236</v>
      </c>
      <c r="B103" s="2" t="s">
        <v>2078</v>
      </c>
      <c r="C103" s="2" t="s">
        <v>2079</v>
      </c>
      <c r="D103" s="29" t="s">
        <v>2080</v>
      </c>
      <c r="E103" s="29" t="s">
        <v>2081</v>
      </c>
      <c r="F103" s="18">
        <v>22806</v>
      </c>
      <c r="G103" s="8">
        <f ca="1">DATEDIF(F103, TODAY(), "Y")</f>
        <v>64</v>
      </c>
      <c r="H103" s="2" t="s">
        <v>566</v>
      </c>
      <c r="I103" s="2" t="s">
        <v>2082</v>
      </c>
      <c r="J103" s="29"/>
      <c r="K103" s="3" t="s">
        <v>3087</v>
      </c>
      <c r="L103" s="1">
        <v>615701137</v>
      </c>
      <c r="M103" s="30" t="s">
        <v>2083</v>
      </c>
      <c r="N103" s="31"/>
      <c r="O103" s="31"/>
      <c r="P103" s="2" t="s">
        <v>2084</v>
      </c>
      <c r="Q103" s="2" t="s">
        <v>3020</v>
      </c>
      <c r="R103" s="18"/>
      <c r="S103" s="18"/>
      <c r="T103" s="18"/>
      <c r="U103" s="2" t="str" cm="1">
        <f t="array" ref="U103">_xlfn.TEXTJOIN(", ", TRUE, IF(Y103:CG103="X", $Y$3:$CG$3, ""))</f>
        <v>Ardi gazta</v>
      </c>
      <c r="V103" s="18" t="str" cm="1">
        <f t="array" ref="V103">_xlfn.TEXTJOIN(", ", TRUE, IF(Y103:CG103="X", $Y$2:$CG$2, ""))</f>
        <v>ESNEKIAK</v>
      </c>
      <c r="W103" s="2" t="str" cm="1">
        <f t="array" ref="W103">_xlfn.TEXTJOIN(", ", TRUE, IF(CH103:CS103="X", $CH$3:$CS$3, ""))</f>
        <v>Vending makina</v>
      </c>
      <c r="X103" s="2" t="str" cm="1">
        <f t="array" ref="X103">_xlfn.TEXTJOIN(", ", TRUE, IF(CT103:CX103="X", $CT$3:$CX$3, ""))</f>
        <v>DO Idiazabal, Artzai Gazta</v>
      </c>
      <c r="Z103" s="82"/>
      <c r="AC103" s="65" t="s">
        <v>764</v>
      </c>
      <c r="AD103" s="82"/>
      <c r="AE103" s="82"/>
      <c r="AK103" s="82"/>
      <c r="AP103" s="82"/>
      <c r="AR103" s="49"/>
      <c r="AS103" s="49"/>
      <c r="AW103" s="49"/>
      <c r="AX103" s="49"/>
      <c r="AZ103" s="49"/>
      <c r="BF103" s="49"/>
      <c r="BO103" s="49"/>
      <c r="CH103" s="49"/>
      <c r="CI103" s="82"/>
      <c r="CJ103" s="82"/>
      <c r="CL103" s="82"/>
      <c r="CN103" s="65" t="s">
        <v>764</v>
      </c>
      <c r="CR103" s="49"/>
      <c r="CW103" s="65" t="s">
        <v>764</v>
      </c>
      <c r="CX103" s="65" t="s">
        <v>764</v>
      </c>
    </row>
    <row r="104" spans="1:102" ht="18.75" customHeight="1" x14ac:dyDescent="0.25">
      <c r="A104" s="8">
        <v>416</v>
      </c>
      <c r="B104" s="49"/>
      <c r="C104" s="49"/>
      <c r="D104" s="45" t="s">
        <v>3132</v>
      </c>
      <c r="E104" s="29" t="s">
        <v>3133</v>
      </c>
      <c r="F104" s="18"/>
      <c r="G104" s="8">
        <f ca="1">DATEDIF(F104, TODAY(), "Y")</f>
        <v>126</v>
      </c>
      <c r="H104" s="2" t="s">
        <v>468</v>
      </c>
      <c r="I104" s="2" t="s">
        <v>2882</v>
      </c>
      <c r="J104" s="29"/>
      <c r="L104" s="1" t="s">
        <v>2883</v>
      </c>
      <c r="M104" s="30" t="s">
        <v>2884</v>
      </c>
      <c r="N104" s="31"/>
      <c r="O104" s="35"/>
      <c r="P104" s="65" t="s">
        <v>2885</v>
      </c>
      <c r="Q104" s="65" t="s">
        <v>3019</v>
      </c>
      <c r="R104" s="2" t="s">
        <v>1216</v>
      </c>
      <c r="S104" s="2"/>
      <c r="T104" s="2"/>
      <c r="U104" s="2" t="str" cm="1">
        <f t="array" ref="U104">_xlfn.TEXTJOIN(", ", TRUE, IF(Y104:CG104="X", $Y$3:$CG$3, ""))</f>
        <v>Ogia, Madalenak</v>
      </c>
      <c r="V104" s="18" t="str" cm="1">
        <f t="array" ref="V104">_xlfn.TEXTJOIN(", ", TRUE, IF(Y104:CG104="X", $Y$2:$CG$2, ""))</f>
        <v>OGIGINTZA, OGIGINTZA</v>
      </c>
      <c r="W104" s="2" t="str" cm="1">
        <f t="array" ref="W104">_xlfn.TEXTJOIN(", ", TRUE, IF(CH104:CS104="X", $CH$3:$CS$3, ""))</f>
        <v>Azokak, Bertatik Bertara</v>
      </c>
      <c r="X104" s="2" t="str" cm="1">
        <f t="array" ref="X104">_xlfn.TEXTJOIN(", ", TRUE, IF(CT104:CX104="X", $CT$3:$CX$3, ""))</f>
        <v/>
      </c>
      <c r="AR104" s="82"/>
      <c r="AS104" s="82"/>
      <c r="AW104" s="82"/>
      <c r="AX104" s="82"/>
      <c r="AZ104" s="82"/>
      <c r="BF104" s="82"/>
      <c r="BO104" s="82"/>
      <c r="BX104" s="65" t="s">
        <v>764</v>
      </c>
      <c r="BZ104" s="3" t="s">
        <v>764</v>
      </c>
      <c r="CH104" s="65" t="s">
        <v>764</v>
      </c>
      <c r="CR104" s="65" t="s">
        <v>764</v>
      </c>
    </row>
    <row r="105" spans="1:102" ht="18.75" customHeight="1" x14ac:dyDescent="0.25">
      <c r="A105" s="8">
        <v>364</v>
      </c>
      <c r="B105" s="2" t="s">
        <v>2759</v>
      </c>
      <c r="C105" s="2" t="s">
        <v>2760</v>
      </c>
      <c r="D105" s="29" t="s">
        <v>2761</v>
      </c>
      <c r="E105" s="29" t="s">
        <v>463</v>
      </c>
      <c r="F105" s="18">
        <v>15355</v>
      </c>
      <c r="G105" s="8">
        <f ca="1">DATEDIF(F105, TODAY(), "Y")</f>
        <v>84</v>
      </c>
      <c r="H105" s="2" t="s">
        <v>464</v>
      </c>
      <c r="I105" s="2" t="s">
        <v>2762</v>
      </c>
      <c r="J105" s="29"/>
      <c r="L105" s="1">
        <v>637062031</v>
      </c>
      <c r="M105" s="30" t="s">
        <v>2763</v>
      </c>
      <c r="N105" s="31"/>
      <c r="O105" s="35"/>
      <c r="P105" s="65" t="s">
        <v>3074</v>
      </c>
      <c r="Q105" s="65"/>
      <c r="R105" s="2"/>
      <c r="S105" s="2"/>
      <c r="T105" s="2"/>
      <c r="U105" s="2" t="str" cm="1">
        <f t="array" ref="U105">_xlfn.TEXTJOIN(", ", TRUE, IF(Y105:CG105="X", $Y$3:$CG$3, ""))</f>
        <v>Barazkiak aire librean, Landareak</v>
      </c>
      <c r="V105" s="18" t="str" cm="1">
        <f t="array" ref="V105">_xlfn.TEXTJOIN(", ", TRUE, IF(Y105:CG105="X", $Y$2:$CG$2, ""))</f>
        <v>BARAZKIAK, LANDAREAK</v>
      </c>
      <c r="W105" s="2" t="str" cm="1">
        <f t="array" ref="W105">_xlfn.TEXTJOIN(", ", TRUE, IF(CH105:CS105="X", $CH$3:$CS$3, ""))</f>
        <v/>
      </c>
      <c r="X105" s="2" t="str" cm="1">
        <f t="array" ref="X105">_xlfn.TEXTJOIN(", ", TRUE, IF(CT105:CX105="X", $CT$3:$CX$3, ""))</f>
        <v/>
      </c>
      <c r="AS105" s="3" t="s">
        <v>764</v>
      </c>
      <c r="BW105" s="3" t="s">
        <v>764</v>
      </c>
    </row>
    <row r="106" spans="1:102" ht="18.75" customHeight="1" x14ac:dyDescent="0.25">
      <c r="A106" s="62"/>
      <c r="B106" s="49"/>
      <c r="C106" s="49"/>
      <c r="D106" s="29" t="s">
        <v>3093</v>
      </c>
      <c r="E106" s="29" t="s">
        <v>3094</v>
      </c>
      <c r="F106" s="66"/>
      <c r="G106" s="62"/>
      <c r="H106" s="2" t="s">
        <v>769</v>
      </c>
      <c r="I106" s="49" t="s">
        <v>2762</v>
      </c>
      <c r="J106" s="38"/>
      <c r="L106" s="1">
        <v>637062031</v>
      </c>
      <c r="M106" s="30" t="s">
        <v>2763</v>
      </c>
      <c r="N106" s="78"/>
      <c r="O106" s="49"/>
      <c r="P106" s="49"/>
      <c r="Q106" s="49"/>
      <c r="R106" s="49"/>
      <c r="S106" s="49"/>
      <c r="T106" s="49"/>
      <c r="U106" s="2" t="str" cm="1">
        <f t="array" ref="U106">_xlfn.TEXTJOIN(", ", TRUE, IF(Y106:CG106="X", $Y$3:$CG$3, ""))</f>
        <v>Barazkiak aire librean, Landareak</v>
      </c>
      <c r="V106" s="18" t="str" cm="1">
        <f t="array" ref="V106">_xlfn.TEXTJOIN(", ", TRUE, IF(Y106:CG106="X", $Y$2:$CG$2, ""))</f>
        <v>BARAZKIAK, LANDAREAK</v>
      </c>
      <c r="W106" s="49"/>
      <c r="X106" s="49"/>
      <c r="AS106" s="3" t="s">
        <v>764</v>
      </c>
      <c r="BW106" s="3" t="s">
        <v>764</v>
      </c>
    </row>
    <row r="107" spans="1:102" ht="18.75" customHeight="1" x14ac:dyDescent="0.25">
      <c r="A107" s="8">
        <v>227</v>
      </c>
      <c r="B107" s="2" t="s">
        <v>2019</v>
      </c>
      <c r="C107" s="2" t="s">
        <v>2020</v>
      </c>
      <c r="D107" s="29" t="s">
        <v>2021</v>
      </c>
      <c r="E107" s="29" t="s">
        <v>2022</v>
      </c>
      <c r="F107" s="18">
        <v>23581</v>
      </c>
      <c r="G107" s="8">
        <f ca="1">DATEDIF(F107, TODAY(), "Y")</f>
        <v>62</v>
      </c>
      <c r="H107" s="2" t="s">
        <v>566</v>
      </c>
      <c r="I107" s="2" t="s">
        <v>770</v>
      </c>
      <c r="J107" s="29"/>
      <c r="L107" s="1">
        <v>679604103</v>
      </c>
      <c r="M107" s="30" t="s">
        <v>2023</v>
      </c>
      <c r="N107" s="31"/>
      <c r="O107" s="35"/>
      <c r="P107" s="65" t="s">
        <v>2024</v>
      </c>
      <c r="Q107" s="65"/>
      <c r="R107" s="18"/>
      <c r="S107" s="18"/>
      <c r="T107" s="18"/>
      <c r="U107" s="2" t="str" cm="1">
        <f t="array" ref="U107">_xlfn.TEXTJOIN(", ", TRUE, IF(Y107:CG107="X", $Y$3:$CG$3, ""))</f>
        <v/>
      </c>
      <c r="V107" s="18" t="str" cm="1">
        <f t="array" ref="V107">_xlfn.TEXTJOIN(", ", TRUE, IF(Y107:CG107="X", $Y$2:$CG$2, ""))</f>
        <v/>
      </c>
      <c r="W107" s="2" t="str" cm="1">
        <f t="array" ref="W107">_xlfn.TEXTJOIN(", ", TRUE, IF(CH107:CS107="X", $CH$3:$CS$3, ""))</f>
        <v/>
      </c>
      <c r="X107" s="2" t="str" cm="1">
        <f t="array" ref="X107">_xlfn.TEXTJOIN(", ", TRUE, IF(CT107:CX107="X", $CT$3:$CX$3, ""))</f>
        <v/>
      </c>
    </row>
    <row r="108" spans="1:102" ht="18.75" customHeight="1" x14ac:dyDescent="0.25">
      <c r="A108" s="8">
        <v>346</v>
      </c>
      <c r="B108" s="2" t="s">
        <v>2698</v>
      </c>
      <c r="C108" s="2" t="s">
        <v>2699</v>
      </c>
      <c r="D108" s="29" t="s">
        <v>2700</v>
      </c>
      <c r="E108" s="29" t="s">
        <v>2701</v>
      </c>
      <c r="F108" s="18">
        <v>30032</v>
      </c>
      <c r="G108" s="8">
        <f ca="1">DATEDIF(F108, TODAY(), "Y")</f>
        <v>44</v>
      </c>
      <c r="H108" s="2" t="s">
        <v>476</v>
      </c>
      <c r="I108" s="2" t="s">
        <v>2702</v>
      </c>
      <c r="J108" s="29"/>
      <c r="L108" s="1" t="s">
        <v>2703</v>
      </c>
      <c r="M108" s="30" t="s">
        <v>2704</v>
      </c>
      <c r="N108" s="31"/>
      <c r="O108" s="31"/>
      <c r="P108" s="2" t="s">
        <v>2705</v>
      </c>
      <c r="Q108" s="2" t="s">
        <v>3019</v>
      </c>
      <c r="R108" s="2" t="s">
        <v>1216</v>
      </c>
      <c r="S108" s="2"/>
      <c r="T108" s="2"/>
      <c r="U108" s="2" t="str" cm="1">
        <f t="array" ref="U108">_xlfn.TEXTJOIN(", ", TRUE, IF(Y108:CG108="X", $Y$3:$CG$3, ""))</f>
        <v>Ogia</v>
      </c>
      <c r="V108" s="18" t="str" cm="1">
        <f t="array" ref="V108">_xlfn.TEXTJOIN(", ", TRUE, IF(Y108:CG108="X", $Y$2:$CG$2, ""))</f>
        <v>OGIGINTZA</v>
      </c>
      <c r="W108" s="2" t="str" cm="1">
        <f t="array" ref="W108">_xlfn.TEXTJOIN(", ", TRUE, IF(CH108:CS108="X", $CH$3:$CS$3, ""))</f>
        <v>Azokak, Etxetik, Dendetan, Jatetxeetara, Harategian, Bertatik Bertara</v>
      </c>
      <c r="X108" s="2" t="str" cm="1">
        <f t="array" ref="X108">_xlfn.TEXTJOIN(", ", TRUE, IF(CT108:CX108="X", $CT$3:$CX$3, ""))</f>
        <v/>
      </c>
      <c r="BX108" s="65" t="s">
        <v>764</v>
      </c>
      <c r="CH108" s="65" t="s">
        <v>764</v>
      </c>
      <c r="CI108" s="65" t="s">
        <v>764</v>
      </c>
      <c r="CJ108" s="65" t="s">
        <v>764</v>
      </c>
      <c r="CK108" s="65" t="s">
        <v>764</v>
      </c>
      <c r="CL108" s="65" t="s">
        <v>764</v>
      </c>
      <c r="CR108" s="65" t="s">
        <v>764</v>
      </c>
    </row>
    <row r="109" spans="1:102" ht="18.75" customHeight="1" x14ac:dyDescent="0.25">
      <c r="A109" s="8">
        <v>1</v>
      </c>
      <c r="B109" s="2" t="s">
        <v>745</v>
      </c>
      <c r="C109" s="2" t="s">
        <v>746</v>
      </c>
      <c r="D109" s="29" t="s">
        <v>747</v>
      </c>
      <c r="E109" s="29" t="s">
        <v>748</v>
      </c>
      <c r="F109" s="18">
        <v>26414</v>
      </c>
      <c r="G109" s="8">
        <f ca="1">DATEDIF(F109, TODAY(), "Y")</f>
        <v>54</v>
      </c>
      <c r="H109" s="2" t="s">
        <v>749</v>
      </c>
      <c r="I109" s="2" t="s">
        <v>750</v>
      </c>
      <c r="J109" s="29"/>
      <c r="L109" s="1">
        <v>669222024</v>
      </c>
      <c r="M109" s="30"/>
      <c r="N109" s="33"/>
      <c r="O109" s="31"/>
      <c r="P109" s="2" t="s">
        <v>751</v>
      </c>
      <c r="Q109" s="2"/>
      <c r="R109" s="18"/>
      <c r="S109" s="18"/>
      <c r="T109" s="18"/>
      <c r="U109" s="2" t="str" cm="1">
        <f t="array" ref="U109">_xlfn.TEXTJOIN(", ", TRUE, IF(Y109:CG109="X", $Y$3:$CG$3, ""))</f>
        <v/>
      </c>
      <c r="V109" s="18" t="str" cm="1">
        <f t="array" ref="V109">_xlfn.TEXTJOIN(", ", TRUE, IF(Y109:CG109="X", $Y$2:$CG$2, ""))</f>
        <v/>
      </c>
      <c r="W109" s="2" t="str" cm="1">
        <f t="array" ref="W109">_xlfn.TEXTJOIN(", ", TRUE, IF(CH109:CS109="X", $CH$3:$CS$3, ""))</f>
        <v/>
      </c>
      <c r="X109" s="2" t="str" cm="1">
        <f t="array" ref="X109">_xlfn.TEXTJOIN(", ", TRUE, IF(CT109:CX109="X", $CT$3:$CX$3, ""))</f>
        <v/>
      </c>
      <c r="AS109" s="42"/>
    </row>
    <row r="110" spans="1:102" ht="18.75" customHeight="1" x14ac:dyDescent="0.25">
      <c r="A110" s="8">
        <v>2</v>
      </c>
      <c r="B110" s="2" t="s">
        <v>752</v>
      </c>
      <c r="C110" s="2" t="s">
        <v>753</v>
      </c>
      <c r="D110" s="29" t="s">
        <v>754</v>
      </c>
      <c r="E110" s="29" t="s">
        <v>755</v>
      </c>
      <c r="F110" s="18">
        <v>14195</v>
      </c>
      <c r="G110" s="8">
        <f ca="1">DATEDIF(F110, TODAY(), "Y")</f>
        <v>87</v>
      </c>
      <c r="H110" s="2" t="s">
        <v>749</v>
      </c>
      <c r="I110" s="2" t="s">
        <v>756</v>
      </c>
      <c r="J110" s="29"/>
      <c r="L110" s="1">
        <v>665701779</v>
      </c>
      <c r="M110" s="30"/>
      <c r="N110" s="31"/>
      <c r="O110" s="31"/>
      <c r="P110" s="2" t="s">
        <v>757</v>
      </c>
      <c r="Q110" s="2"/>
      <c r="R110" s="18"/>
      <c r="S110" s="18"/>
      <c r="T110" s="18"/>
      <c r="U110" s="2" t="str" cm="1">
        <f t="array" ref="U110">_xlfn.TEXTJOIN(", ", TRUE, IF(Y110:CG110="X", $Y$3:$CG$3, ""))</f>
        <v/>
      </c>
      <c r="V110" s="18" t="str" cm="1">
        <f t="array" ref="V110">_xlfn.TEXTJOIN(", ", TRUE, IF(Y110:CG110="X", $Y$2:$CG$2, ""))</f>
        <v/>
      </c>
      <c r="W110" s="2" t="str" cm="1">
        <f t="array" ref="W110">_xlfn.TEXTJOIN(", ", TRUE, IF(CH110:CS110="X", $CH$3:$CS$3, ""))</f>
        <v/>
      </c>
      <c r="X110" s="2" t="str" cm="1">
        <f t="array" ref="X110">_xlfn.TEXTJOIN(", ", TRUE, IF(CT110:CX110="X", $CT$3:$CX$3, ""))</f>
        <v/>
      </c>
      <c r="AS110" s="49"/>
      <c r="AX110" s="49"/>
      <c r="AZ110" s="49"/>
      <c r="BD110" s="49"/>
      <c r="BF110" s="49"/>
      <c r="CI110" s="49"/>
      <c r="CJ110" s="49"/>
      <c r="CL110" s="49"/>
      <c r="CR110" s="49"/>
    </row>
    <row r="111" spans="1:102" ht="18.75" customHeight="1" x14ac:dyDescent="0.25">
      <c r="A111" s="8">
        <v>3</v>
      </c>
      <c r="B111" s="2" t="s">
        <v>758</v>
      </c>
      <c r="C111" s="2" t="s">
        <v>759</v>
      </c>
      <c r="D111" s="29" t="s">
        <v>760</v>
      </c>
      <c r="E111" s="29" t="s">
        <v>761</v>
      </c>
      <c r="F111" s="18">
        <v>22026</v>
      </c>
      <c r="G111" s="8">
        <f ca="1">DATEDIF(F111, TODAY(), "Y")</f>
        <v>66</v>
      </c>
      <c r="H111" s="2" t="s">
        <v>749</v>
      </c>
      <c r="I111" s="2" t="s">
        <v>762</v>
      </c>
      <c r="J111" s="29"/>
      <c r="L111" s="1">
        <v>615700408</v>
      </c>
      <c r="M111" s="30"/>
      <c r="N111" s="31"/>
      <c r="O111" s="31"/>
      <c r="P111" s="2" t="s">
        <v>763</v>
      </c>
      <c r="Q111" s="2" t="s">
        <v>3019</v>
      </c>
      <c r="R111" s="18"/>
      <c r="S111" s="18"/>
      <c r="T111" s="18"/>
      <c r="U111" s="2" t="str" cm="1">
        <f t="array" ref="U111">_xlfn.TEXTJOIN(", ", TRUE, IF(Y111:CG111="X", $Y$3:$CG$3, ""))</f>
        <v>Ardi haragia, Ahuntz haragia, Fruta</v>
      </c>
      <c r="V111" s="18" t="str" cm="1">
        <f t="array" ref="V111">_xlfn.TEXTJOIN(", ", TRUE, IF(Y111:CG111="X", $Y$2:$CG$2, ""))</f>
        <v>HARAGIA, HARAGIA, FRUTA</v>
      </c>
      <c r="W111" s="2" t="str" cm="1">
        <f t="array" ref="W111">_xlfn.TEXTJOIN(", ", TRUE, IF(CH111:CS111="X", $CH$3:$CS$3, ""))</f>
        <v>Etxetik</v>
      </c>
      <c r="X111" s="2" t="str" cm="1">
        <f t="array" ref="X111">_xlfn.TEXTJOIN(", ", TRUE, IF(CT111:CX111="X", $CT$3:$CX$3, ""))</f>
        <v>Ekologikoa</v>
      </c>
      <c r="AJ111" s="49"/>
      <c r="AK111" s="65" t="s">
        <v>764</v>
      </c>
      <c r="AP111" s="65" t="s">
        <v>764</v>
      </c>
      <c r="AS111" s="82"/>
      <c r="AX111" s="82"/>
      <c r="AZ111" s="82"/>
      <c r="BD111" s="65" t="s">
        <v>764</v>
      </c>
      <c r="BF111" s="82"/>
      <c r="CI111" s="65" t="s">
        <v>764</v>
      </c>
      <c r="CJ111" s="82"/>
      <c r="CL111" s="82"/>
      <c r="CR111" s="49"/>
      <c r="CT111" s="65" t="s">
        <v>764</v>
      </c>
    </row>
    <row r="112" spans="1:102" ht="18.75" customHeight="1" x14ac:dyDescent="0.25">
      <c r="A112" s="8">
        <v>4</v>
      </c>
      <c r="B112" s="2" t="s">
        <v>765</v>
      </c>
      <c r="C112" s="2" t="s">
        <v>766</v>
      </c>
      <c r="D112" s="29" t="s">
        <v>767</v>
      </c>
      <c r="E112" s="29" t="s">
        <v>768</v>
      </c>
      <c r="F112" s="18">
        <v>19745</v>
      </c>
      <c r="G112" s="8">
        <f ca="1">DATEDIF(F112, TODAY(), "Y")</f>
        <v>72</v>
      </c>
      <c r="H112" s="2" t="s">
        <v>769</v>
      </c>
      <c r="I112" s="2" t="s">
        <v>770</v>
      </c>
      <c r="J112" s="29"/>
      <c r="L112" s="1">
        <v>943881744</v>
      </c>
      <c r="M112" s="30"/>
      <c r="N112" s="31"/>
      <c r="O112" s="31"/>
      <c r="P112" s="2" t="s">
        <v>771</v>
      </c>
      <c r="Q112" s="2"/>
      <c r="R112" s="2" t="s">
        <v>772</v>
      </c>
      <c r="S112" s="2"/>
      <c r="T112" s="2"/>
      <c r="U112" s="2" t="str" cm="1">
        <f t="array" ref="U112">_xlfn.TEXTJOIN(", ", TRUE, IF(Y112:CG112="X", $Y$3:$CG$3, ""))</f>
        <v/>
      </c>
      <c r="V112" s="18" t="str" cm="1">
        <f t="array" ref="V112">_xlfn.TEXTJOIN(", ", TRUE, IF(Y112:CG112="X", $Y$2:$CG$2, ""))</f>
        <v/>
      </c>
      <c r="W112" s="2" t="str" cm="1">
        <f t="array" ref="W112">_xlfn.TEXTJOIN(", ", TRUE, IF(CH112:CS112="X", $CH$3:$CS$3, ""))</f>
        <v>Azokak, Etxetik, Biziola</v>
      </c>
      <c r="X112" s="2" t="str" cm="1">
        <f t="array" ref="X112">_xlfn.TEXTJOIN(", ", TRUE, IF(CT112:CX112="X", $CT$3:$CX$3, ""))</f>
        <v/>
      </c>
      <c r="AJ112" s="82"/>
      <c r="CH112" s="65" t="s">
        <v>764</v>
      </c>
      <c r="CI112" s="65" t="s">
        <v>764</v>
      </c>
      <c r="CP112" s="65" t="s">
        <v>764</v>
      </c>
      <c r="CQ112" s="65"/>
      <c r="CR112" s="49"/>
    </row>
    <row r="113" spans="1:98" ht="18.75" customHeight="1" x14ac:dyDescent="0.25">
      <c r="A113" s="8">
        <v>5</v>
      </c>
      <c r="B113" s="2" t="s">
        <v>773</v>
      </c>
      <c r="C113" s="2" t="s">
        <v>774</v>
      </c>
      <c r="D113" s="29" t="s">
        <v>775</v>
      </c>
      <c r="E113" s="29" t="s">
        <v>776</v>
      </c>
      <c r="F113" s="18"/>
      <c r="G113" s="8">
        <f ca="1">DATEDIF(F113, TODAY(), "Y")</f>
        <v>126</v>
      </c>
      <c r="H113" s="2" t="s">
        <v>769</v>
      </c>
      <c r="I113" s="2" t="s">
        <v>777</v>
      </c>
      <c r="J113" s="29"/>
      <c r="L113" s="1">
        <v>943883160</v>
      </c>
      <c r="M113" s="30"/>
      <c r="N113" s="31"/>
      <c r="O113" s="31"/>
      <c r="P113" s="2" t="s">
        <v>778</v>
      </c>
      <c r="Q113" s="2"/>
      <c r="R113" s="18"/>
      <c r="S113" s="18"/>
      <c r="T113" s="18"/>
      <c r="U113" s="2" t="str" cm="1">
        <f t="array" ref="U113">_xlfn.TEXTJOIN(", ", TRUE, IF(Y113:CG113="X", $Y$3:$CG$3, ""))</f>
        <v>Arrautzak, Barazkiak aire librean, Barazki transformatuak, Babarrunak, Eztia</v>
      </c>
      <c r="V113" s="18" t="str" cm="1">
        <f t="array" ref="V113">_xlfn.TEXTJOIN(", ", TRUE, IF(Y113:CG113="X", $Y$2:$CG$2, ""))</f>
        <v>OILOAK, BARAZKIAK, ERATORRIAK, LEKALEAK, ERLEAK</v>
      </c>
      <c r="W113" s="2" t="str" cm="1">
        <f t="array" ref="W113">_xlfn.TEXTJOIN(", ", TRUE, IF(CH113:CS113="X", $CH$3:$CS$3, ""))</f>
        <v/>
      </c>
      <c r="X113" s="2" t="str" cm="1">
        <f t="array" ref="X113">_xlfn.TEXTJOIN(", ", TRUE, IF(CT113:CX113="X", $CT$3:$CX$3, ""))</f>
        <v/>
      </c>
      <c r="AR113" s="3" t="s">
        <v>764</v>
      </c>
      <c r="AS113" s="3" t="s">
        <v>764</v>
      </c>
      <c r="AU113" s="3" t="s">
        <v>764</v>
      </c>
      <c r="AZ113" s="3" t="s">
        <v>764</v>
      </c>
      <c r="BA113" s="3" t="s">
        <v>764</v>
      </c>
      <c r="CR113" s="82"/>
    </row>
    <row r="114" spans="1:98" ht="18.75" customHeight="1" x14ac:dyDescent="0.25">
      <c r="A114" s="8">
        <v>6</v>
      </c>
      <c r="B114" s="2" t="s">
        <v>779</v>
      </c>
      <c r="C114" s="2" t="s">
        <v>780</v>
      </c>
      <c r="D114" s="29" t="s">
        <v>781</v>
      </c>
      <c r="E114" s="29" t="s">
        <v>782</v>
      </c>
      <c r="F114" s="18"/>
      <c r="G114" s="8">
        <f ca="1">DATEDIF(F114, TODAY(), "Y")</f>
        <v>126</v>
      </c>
      <c r="H114" s="2" t="s">
        <v>769</v>
      </c>
      <c r="I114" s="2" t="s">
        <v>783</v>
      </c>
      <c r="J114" s="29"/>
      <c r="K114" s="42"/>
      <c r="L114" s="1">
        <v>605763937</v>
      </c>
      <c r="M114" s="30"/>
      <c r="N114" s="31"/>
      <c r="O114" s="31"/>
      <c r="P114" s="2" t="s">
        <v>784</v>
      </c>
      <c r="Q114" s="2" t="s">
        <v>3019</v>
      </c>
      <c r="R114" s="49"/>
      <c r="S114" s="49"/>
      <c r="T114" s="49"/>
      <c r="U114" s="2" t="str" cm="1">
        <f t="array" ref="U114">_xlfn.TEXTJOIN(", ", TRUE, IF(Y114:CG114="X", $Y$3:$CG$3, ""))</f>
        <v>Arrautzak, Barazkiak aire librean, Babarrunak, Fruta</v>
      </c>
      <c r="V114" s="18" t="str" cm="1">
        <f t="array" ref="V114">_xlfn.TEXTJOIN(", ", TRUE, IF(Y114:CG114="X", $Y$2:$CG$2, ""))</f>
        <v>OILOAK, BARAZKIAK, LEKALEAK, FRUTA</v>
      </c>
      <c r="W114" s="2" t="str" cm="1">
        <f t="array" ref="W114">_xlfn.TEXTJOIN(", ", TRUE, IF(CH114:CS114="X", $CH$3:$CS$3, ""))</f>
        <v/>
      </c>
      <c r="X114" s="2" t="str" cm="1">
        <f t="array" ref="X114">_xlfn.TEXTJOIN(", ", TRUE, IF(CT114:CX114="X", $CT$3:$CX$3, ""))</f>
        <v/>
      </c>
      <c r="AR114" s="65" t="s">
        <v>764</v>
      </c>
      <c r="AS114" s="2" t="s">
        <v>764</v>
      </c>
      <c r="AZ114" s="3" t="s">
        <v>764</v>
      </c>
      <c r="BD114" s="3" t="s">
        <v>764</v>
      </c>
      <c r="CR114" s="49"/>
    </row>
    <row r="115" spans="1:98" ht="18.75" customHeight="1" x14ac:dyDescent="0.25">
      <c r="A115" s="8">
        <v>9</v>
      </c>
      <c r="B115" s="2" t="s">
        <v>799</v>
      </c>
      <c r="C115" s="2" t="s">
        <v>800</v>
      </c>
      <c r="D115" s="29" t="s">
        <v>801</v>
      </c>
      <c r="E115" s="29" t="s">
        <v>802</v>
      </c>
      <c r="F115" s="18">
        <v>27624</v>
      </c>
      <c r="G115" s="8">
        <f ca="1">DATEDIF(F115, TODAY(), "Y")</f>
        <v>50</v>
      </c>
      <c r="H115" s="2" t="s">
        <v>803</v>
      </c>
      <c r="I115" s="2" t="s">
        <v>804</v>
      </c>
      <c r="J115" s="29"/>
      <c r="L115" s="1"/>
      <c r="M115" s="30"/>
      <c r="N115" s="31"/>
      <c r="O115" s="31"/>
      <c r="P115" s="49"/>
      <c r="Q115" s="49"/>
      <c r="R115" s="18"/>
      <c r="S115" s="18"/>
      <c r="T115" s="18"/>
      <c r="U115" s="2" t="str" cm="1">
        <f t="array" ref="U115">_xlfn.TEXTJOIN(", ", TRUE, IF(Y115:CG115="X", $Y$3:$CG$3, ""))</f>
        <v/>
      </c>
      <c r="V115" s="18" t="str" cm="1">
        <f t="array" ref="V115">_xlfn.TEXTJOIN(", ", TRUE, IF(Y115:CG115="X", $Y$2:$CG$2, ""))</f>
        <v/>
      </c>
      <c r="W115" s="2" t="str" cm="1">
        <f t="array" ref="W115">_xlfn.TEXTJOIN(", ", TRUE, IF(CH115:CS115="X", $CH$3:$CS$3, ""))</f>
        <v>Harategian</v>
      </c>
      <c r="X115" s="2" t="str" cm="1">
        <f t="array" ref="X115">_xlfn.TEXTJOIN(", ", TRUE, IF(CT115:CX115="X", $CT$3:$CX$3, ""))</f>
        <v/>
      </c>
      <c r="AR115" s="49"/>
      <c r="AS115" s="49"/>
      <c r="AX115" s="49"/>
      <c r="AZ115" s="49"/>
      <c r="BD115" s="49"/>
      <c r="BF115" s="49"/>
      <c r="BO115" s="49"/>
      <c r="CF115" s="49"/>
      <c r="CL115" s="65" t="s">
        <v>764</v>
      </c>
      <c r="CR115" s="82"/>
      <c r="CT115" s="49"/>
    </row>
    <row r="116" spans="1:98" ht="18.75" customHeight="1" x14ac:dyDescent="0.25">
      <c r="A116" s="8">
        <v>11</v>
      </c>
      <c r="B116" s="2" t="s">
        <v>811</v>
      </c>
      <c r="C116" s="2" t="s">
        <v>812</v>
      </c>
      <c r="D116" s="29" t="s">
        <v>813</v>
      </c>
      <c r="E116" s="29" t="s">
        <v>814</v>
      </c>
      <c r="F116" s="18">
        <v>22054</v>
      </c>
      <c r="G116" s="8">
        <f ca="1">DATEDIF(F116, TODAY(), "Y")</f>
        <v>66</v>
      </c>
      <c r="H116" s="2" t="s">
        <v>803</v>
      </c>
      <c r="I116" s="2" t="s">
        <v>815</v>
      </c>
      <c r="J116" s="29"/>
      <c r="L116" s="1">
        <v>630104209</v>
      </c>
      <c r="M116" s="30"/>
      <c r="N116" s="31"/>
      <c r="O116" s="31"/>
      <c r="P116" s="2" t="s">
        <v>816</v>
      </c>
      <c r="Q116" s="2"/>
      <c r="R116" s="18"/>
      <c r="S116" s="18"/>
      <c r="T116" s="18"/>
      <c r="U116" s="2" t="str" cm="1">
        <f t="array" ref="U116">_xlfn.TEXTJOIN(", ", TRUE, IF(Y116:CG116="X", $Y$3:$CG$3, ""))</f>
        <v/>
      </c>
      <c r="V116" s="18" t="str" cm="1">
        <f t="array" ref="V116">_xlfn.TEXTJOIN(", ", TRUE, IF(Y116:CG116="X", $Y$2:$CG$2, ""))</f>
        <v/>
      </c>
      <c r="W116" s="2" t="str" cm="1">
        <f t="array" ref="W116">_xlfn.TEXTJOIN(", ", TRUE, IF(CH116:CS116="X", $CH$3:$CS$3, ""))</f>
        <v/>
      </c>
      <c r="X116" s="2" t="str" cm="1">
        <f t="array" ref="X116">_xlfn.TEXTJOIN(", ", TRUE, IF(CT116:CX116="X", $CT$3:$CX$3, ""))</f>
        <v/>
      </c>
      <c r="AR116" s="82"/>
      <c r="AS116" s="82"/>
      <c r="AX116" s="82"/>
      <c r="AZ116" s="82"/>
      <c r="BD116" s="49"/>
      <c r="BF116" s="49"/>
      <c r="BO116" s="82"/>
      <c r="CF116" s="82"/>
      <c r="CI116" s="49"/>
      <c r="CR116" s="49"/>
      <c r="CT116" s="49"/>
    </row>
    <row r="117" spans="1:98" ht="18.75" customHeight="1" x14ac:dyDescent="0.25">
      <c r="A117" s="8">
        <v>12</v>
      </c>
      <c r="B117" s="2" t="s">
        <v>817</v>
      </c>
      <c r="C117" s="2" t="s">
        <v>818</v>
      </c>
      <c r="D117" s="29" t="s">
        <v>819</v>
      </c>
      <c r="E117" s="29" t="s">
        <v>820</v>
      </c>
      <c r="F117" s="18">
        <v>22901</v>
      </c>
      <c r="G117" s="8">
        <f ca="1">DATEDIF(F117, TODAY(), "Y")</f>
        <v>63</v>
      </c>
      <c r="H117" s="2" t="s">
        <v>803</v>
      </c>
      <c r="I117" s="2" t="s">
        <v>821</v>
      </c>
      <c r="J117" s="29"/>
      <c r="L117" s="1">
        <v>665722925</v>
      </c>
      <c r="M117" s="30"/>
      <c r="N117" s="31"/>
      <c r="O117" s="35"/>
      <c r="P117" s="65" t="s">
        <v>822</v>
      </c>
      <c r="Q117" s="65"/>
      <c r="R117" s="18"/>
      <c r="S117" s="18"/>
      <c r="T117" s="18"/>
      <c r="U117" s="2" t="str" cm="1">
        <f t="array" ref="U117">_xlfn.TEXTJOIN(", ", TRUE, IF(Y117:CG117="X", $Y$3:$CG$3, ""))</f>
        <v/>
      </c>
      <c r="V117" s="18" t="str" cm="1">
        <f t="array" ref="V117">_xlfn.TEXTJOIN(", ", TRUE, IF(Y117:CG117="X", $Y$2:$CG$2, ""))</f>
        <v/>
      </c>
      <c r="W117" s="2" t="str" cm="1">
        <f t="array" ref="W117">_xlfn.TEXTJOIN(", ", TRUE, IF(CH117:CS117="X", $CH$3:$CS$3, ""))</f>
        <v>Etxetik</v>
      </c>
      <c r="X117" s="2" t="str" cm="1">
        <f t="array" ref="X117">_xlfn.TEXTJOIN(", ", TRUE, IF(CT117:CX117="X", $CT$3:$CX$3, ""))</f>
        <v/>
      </c>
      <c r="BD117" s="82"/>
      <c r="BF117" s="82"/>
      <c r="CI117" s="65" t="s">
        <v>764</v>
      </c>
      <c r="CR117" s="82"/>
      <c r="CT117" s="82"/>
    </row>
    <row r="118" spans="1:98" ht="18.75" customHeight="1" x14ac:dyDescent="0.25">
      <c r="A118" s="8">
        <v>13</v>
      </c>
      <c r="B118" s="2" t="s">
        <v>823</v>
      </c>
      <c r="C118" s="2" t="s">
        <v>824</v>
      </c>
      <c r="D118" s="29" t="s">
        <v>825</v>
      </c>
      <c r="E118" s="29" t="s">
        <v>826</v>
      </c>
      <c r="F118" s="18">
        <v>16338</v>
      </c>
      <c r="G118" s="8">
        <f ca="1">DATEDIF(F118, TODAY(), "Y")</f>
        <v>81</v>
      </c>
      <c r="H118" s="2" t="s">
        <v>803</v>
      </c>
      <c r="I118" s="2" t="s">
        <v>827</v>
      </c>
      <c r="J118" s="29"/>
      <c r="L118" s="1"/>
      <c r="M118" s="30"/>
      <c r="N118" s="31"/>
      <c r="O118" s="31"/>
      <c r="P118" s="49"/>
      <c r="Q118" s="49"/>
      <c r="R118" s="18"/>
      <c r="S118" s="18"/>
      <c r="T118" s="18"/>
      <c r="U118" s="2" t="str" cm="1">
        <f t="array" ref="U118">_xlfn.TEXTJOIN(", ", TRUE, IF(Y118:CG118="X", $Y$3:$CG$3, ""))</f>
        <v/>
      </c>
      <c r="V118" s="18" t="str" cm="1">
        <f t="array" ref="V118">_xlfn.TEXTJOIN(", ", TRUE, IF(Y118:CG118="X", $Y$2:$CG$2, ""))</f>
        <v/>
      </c>
      <c r="W118" s="2" t="str" cm="1">
        <f t="array" ref="W118">_xlfn.TEXTJOIN(", ", TRUE, IF(CH118:CS118="X", $CH$3:$CS$3, ""))</f>
        <v/>
      </c>
      <c r="X118" s="2" t="str" cm="1">
        <f t="array" ref="X118">_xlfn.TEXTJOIN(", ", TRUE, IF(CT118:CX118="X", $CT$3:$CX$3, ""))</f>
        <v/>
      </c>
    </row>
    <row r="119" spans="1:98" ht="18.75" customHeight="1" x14ac:dyDescent="0.25">
      <c r="A119" s="8">
        <v>14</v>
      </c>
      <c r="B119" s="2" t="s">
        <v>828</v>
      </c>
      <c r="C119" s="2" t="s">
        <v>829</v>
      </c>
      <c r="D119" s="29" t="s">
        <v>830</v>
      </c>
      <c r="E119" s="29" t="s">
        <v>831</v>
      </c>
      <c r="F119" s="18">
        <v>21658</v>
      </c>
      <c r="G119" s="8">
        <f ca="1">DATEDIF(F119, TODAY(), "Y")</f>
        <v>67</v>
      </c>
      <c r="H119" s="2" t="s">
        <v>803</v>
      </c>
      <c r="I119" s="2" t="s">
        <v>832</v>
      </c>
      <c r="J119" s="29"/>
      <c r="L119" s="1"/>
      <c r="M119" s="30"/>
      <c r="N119" s="31"/>
      <c r="O119" s="35"/>
      <c r="P119" s="82"/>
      <c r="Q119" s="82"/>
      <c r="R119" s="18"/>
      <c r="S119" s="18"/>
      <c r="T119" s="18"/>
      <c r="U119" s="2" t="str" cm="1">
        <f t="array" ref="U119">_xlfn.TEXTJOIN(", ", TRUE, IF(Y119:CG119="X", $Y$3:$CG$3, ""))</f>
        <v/>
      </c>
      <c r="V119" s="18" t="str" cm="1">
        <f t="array" ref="V119">_xlfn.TEXTJOIN(", ", TRUE, IF(Y119:CG119="X", $Y$2:$CG$2, ""))</f>
        <v/>
      </c>
      <c r="W119" s="2" t="str" cm="1">
        <f t="array" ref="W119">_xlfn.TEXTJOIN(", ", TRUE, IF(CH119:CS119="X", $CH$3:$CS$3, ""))</f>
        <v/>
      </c>
      <c r="X119" s="2" t="str" cm="1">
        <f t="array" ref="X119">_xlfn.TEXTJOIN(", ", TRUE, IF(CT119:CX119="X", $CT$3:$CX$3, ""))</f>
        <v/>
      </c>
    </row>
    <row r="120" spans="1:98" ht="18.75" customHeight="1" x14ac:dyDescent="0.25">
      <c r="A120" s="8">
        <v>15</v>
      </c>
      <c r="B120" s="2" t="s">
        <v>833</v>
      </c>
      <c r="C120" s="2" t="s">
        <v>834</v>
      </c>
      <c r="D120" s="29" t="s">
        <v>835</v>
      </c>
      <c r="E120" s="29" t="s">
        <v>836</v>
      </c>
      <c r="F120" s="18">
        <v>20909</v>
      </c>
      <c r="G120" s="8">
        <f ca="1">DATEDIF(F120, TODAY(), "Y")</f>
        <v>69</v>
      </c>
      <c r="H120" s="2" t="s">
        <v>803</v>
      </c>
      <c r="I120" s="2" t="s">
        <v>837</v>
      </c>
      <c r="J120" s="29"/>
      <c r="L120" s="1">
        <v>667525247</v>
      </c>
      <c r="M120" s="30"/>
      <c r="N120" s="31"/>
      <c r="O120" s="31"/>
      <c r="P120" s="2" t="s">
        <v>838</v>
      </c>
      <c r="Q120" s="2" t="s">
        <v>3019</v>
      </c>
      <c r="R120" s="18"/>
      <c r="S120" s="18"/>
      <c r="T120" s="18"/>
      <c r="U120" s="2" t="str" cm="1">
        <f t="array" ref="U120">_xlfn.TEXTJOIN(", ", TRUE, IF(Y120:CG120="X", $Y$3:$CG$3, ""))</f>
        <v>Landareak</v>
      </c>
      <c r="V120" s="18" t="str" cm="1">
        <f t="array" ref="V120">_xlfn.TEXTJOIN(", ", TRUE, IF(Y120:CG120="X", $Y$2:$CG$2, ""))</f>
        <v>LANDAREAK</v>
      </c>
      <c r="W120" s="2" t="str" cm="1">
        <f t="array" ref="W120">_xlfn.TEXTJOIN(", ", TRUE, IF(CH120:CS120="X", $CH$3:$CS$3, ""))</f>
        <v>Azokak, Dendetan, Jatetxeetara</v>
      </c>
      <c r="X120" s="2" t="str" cm="1">
        <f t="array" ref="X120">_xlfn.TEXTJOIN(", ", TRUE, IF(CT120:CX120="X", $CT$3:$CX$3, ""))</f>
        <v/>
      </c>
      <c r="BW120" s="65" t="s">
        <v>764</v>
      </c>
      <c r="CH120" s="65" t="s">
        <v>764</v>
      </c>
      <c r="CJ120" s="65" t="s">
        <v>764</v>
      </c>
      <c r="CK120" s="65" t="s">
        <v>764</v>
      </c>
    </row>
    <row r="121" spans="1:98" ht="18.75" customHeight="1" x14ac:dyDescent="0.25">
      <c r="A121" s="8">
        <v>17</v>
      </c>
      <c r="B121" s="2" t="s">
        <v>846</v>
      </c>
      <c r="C121" s="2" t="s">
        <v>847</v>
      </c>
      <c r="D121" s="29" t="s">
        <v>848</v>
      </c>
      <c r="E121" s="29" t="s">
        <v>849</v>
      </c>
      <c r="F121" s="18">
        <v>20837</v>
      </c>
      <c r="G121" s="8">
        <f ca="1">DATEDIF(F121, TODAY(), "Y")</f>
        <v>69</v>
      </c>
      <c r="H121" s="2" t="s">
        <v>803</v>
      </c>
      <c r="I121" s="2" t="s">
        <v>850</v>
      </c>
      <c r="J121" s="29"/>
      <c r="L121" s="1"/>
      <c r="M121" s="30"/>
      <c r="N121" s="31"/>
      <c r="O121" s="31"/>
      <c r="P121" s="49"/>
      <c r="Q121" s="49"/>
      <c r="R121" s="18"/>
      <c r="S121" s="18"/>
      <c r="T121" s="18"/>
      <c r="U121" s="2" t="str" cm="1">
        <f t="array" ref="U121">_xlfn.TEXTJOIN(", ", TRUE, IF(Y121:CG121="X", $Y$3:$CG$3, ""))</f>
        <v/>
      </c>
      <c r="V121" s="18" t="str" cm="1">
        <f t="array" ref="V121">_xlfn.TEXTJOIN(", ", TRUE, IF(Y121:CG121="X", $Y$2:$CG$2, ""))</f>
        <v/>
      </c>
      <c r="W121" s="2" t="str" cm="1">
        <f t="array" ref="W121">_xlfn.TEXTJOIN(", ", TRUE, IF(CH121:CS121="X", $CH$3:$CS$3, ""))</f>
        <v>Dendetan, Harategian</v>
      </c>
      <c r="X121" s="2" t="str" cm="1">
        <f t="array" ref="X121">_xlfn.TEXTJOIN(", ", TRUE, IF(CT121:CX121="X", $CT$3:$CX$3, ""))</f>
        <v/>
      </c>
      <c r="BD121" s="49"/>
      <c r="CJ121" s="65" t="s">
        <v>764</v>
      </c>
      <c r="CL121" s="65" t="s">
        <v>764</v>
      </c>
      <c r="CT121" s="49"/>
    </row>
    <row r="122" spans="1:98" ht="18.75" customHeight="1" x14ac:dyDescent="0.25">
      <c r="A122" s="8">
        <v>18</v>
      </c>
      <c r="B122" s="2" t="s">
        <v>851</v>
      </c>
      <c r="C122" s="2" t="s">
        <v>852</v>
      </c>
      <c r="D122" s="29" t="s">
        <v>853</v>
      </c>
      <c r="E122" s="29" t="s">
        <v>854</v>
      </c>
      <c r="F122" s="18">
        <v>20806</v>
      </c>
      <c r="G122" s="8">
        <f ca="1">DATEDIF(F122, TODAY(), "Y")</f>
        <v>69</v>
      </c>
      <c r="H122" s="2" t="s">
        <v>803</v>
      </c>
      <c r="I122" s="2" t="s">
        <v>855</v>
      </c>
      <c r="J122" s="29"/>
      <c r="L122" s="1">
        <v>649347954</v>
      </c>
      <c r="M122" s="30"/>
      <c r="N122" s="31"/>
      <c r="O122" s="31"/>
      <c r="P122" s="2" t="s">
        <v>856</v>
      </c>
      <c r="Q122" s="2"/>
      <c r="R122" s="18"/>
      <c r="S122" s="18"/>
      <c r="T122" s="18"/>
      <c r="U122" s="2" t="str" cm="1">
        <f t="array" ref="U122">_xlfn.TEXTJOIN(", ", TRUE, IF(Y122:CG122="X", $Y$3:$CG$3, ""))</f>
        <v/>
      </c>
      <c r="V122" s="18" t="str" cm="1">
        <f t="array" ref="V122">_xlfn.TEXTJOIN(", ", TRUE, IF(Y122:CG122="X", $Y$2:$CG$2, ""))</f>
        <v/>
      </c>
      <c r="W122" s="2" t="str" cm="1">
        <f t="array" ref="W122">_xlfn.TEXTJOIN(", ", TRUE, IF(CH122:CS122="X", $CH$3:$CS$3, ""))</f>
        <v>Azokak, Etxetik</v>
      </c>
      <c r="X122" s="2" t="str" cm="1">
        <f t="array" ref="X122">_xlfn.TEXTJOIN(", ", TRUE, IF(CT122:CX122="X", $CT$3:$CX$3, ""))</f>
        <v/>
      </c>
      <c r="BD122" s="82"/>
      <c r="CH122" s="65" t="s">
        <v>764</v>
      </c>
      <c r="CI122" s="65" t="s">
        <v>764</v>
      </c>
      <c r="CT122" s="82"/>
    </row>
    <row r="123" spans="1:98" ht="18.75" customHeight="1" x14ac:dyDescent="0.25">
      <c r="A123" s="8">
        <v>19</v>
      </c>
      <c r="B123" s="2" t="s">
        <v>857</v>
      </c>
      <c r="C123" s="2" t="s">
        <v>858</v>
      </c>
      <c r="D123" s="29" t="s">
        <v>859</v>
      </c>
      <c r="E123" s="29" t="s">
        <v>860</v>
      </c>
      <c r="F123" s="18">
        <v>27870</v>
      </c>
      <c r="G123" s="8">
        <f ca="1">DATEDIF(F123, TODAY(), "Y")</f>
        <v>50</v>
      </c>
      <c r="H123" s="2" t="s">
        <v>803</v>
      </c>
      <c r="I123" s="2" t="s">
        <v>861</v>
      </c>
      <c r="J123" s="29"/>
      <c r="L123" s="1"/>
      <c r="M123" s="30"/>
      <c r="N123" s="31"/>
      <c r="O123" s="31"/>
      <c r="P123" s="49"/>
      <c r="Q123" s="49"/>
      <c r="R123" s="18"/>
      <c r="S123" s="18"/>
      <c r="T123" s="18"/>
      <c r="U123" s="2" t="str" cm="1">
        <f t="array" ref="U123">_xlfn.TEXTJOIN(", ", TRUE, IF(Y123:CG123="X", $Y$3:$CG$3, ""))</f>
        <v/>
      </c>
      <c r="V123" s="18" t="str" cm="1">
        <f t="array" ref="V123">_xlfn.TEXTJOIN(", ", TRUE, IF(Y123:CG123="X", $Y$2:$CG$2, ""))</f>
        <v/>
      </c>
      <c r="W123" s="2" t="str" cm="1">
        <f t="array" ref="W123">_xlfn.TEXTJOIN(", ", TRUE, IF(CH123:CS123="X", $CH$3:$CS$3, ""))</f>
        <v>Harategian</v>
      </c>
      <c r="X123" s="2" t="str" cm="1">
        <f t="array" ref="X123">_xlfn.TEXTJOIN(", ", TRUE, IF(CT123:CX123="X", $CT$3:$CX$3, ""))</f>
        <v/>
      </c>
      <c r="CL123" s="65" t="s">
        <v>764</v>
      </c>
    </row>
    <row r="124" spans="1:98" ht="18.75" customHeight="1" x14ac:dyDescent="0.25">
      <c r="A124" s="8">
        <v>20</v>
      </c>
      <c r="B124" s="2" t="s">
        <v>862</v>
      </c>
      <c r="C124" s="2" t="s">
        <v>863</v>
      </c>
      <c r="D124" s="29" t="s">
        <v>864</v>
      </c>
      <c r="E124" s="29" t="s">
        <v>865</v>
      </c>
      <c r="F124" s="18">
        <v>25396</v>
      </c>
      <c r="G124" s="8">
        <f ca="1">DATEDIF(F124, TODAY(), "Y")</f>
        <v>57</v>
      </c>
      <c r="H124" s="2" t="s">
        <v>803</v>
      </c>
      <c r="I124" s="2" t="s">
        <v>866</v>
      </c>
      <c r="J124" s="29"/>
      <c r="L124" s="1">
        <v>629449460</v>
      </c>
      <c r="M124" s="30"/>
      <c r="N124" s="31"/>
      <c r="O124" s="31"/>
      <c r="P124" s="2" t="s">
        <v>867</v>
      </c>
      <c r="Q124" s="2"/>
      <c r="R124" s="18"/>
      <c r="S124" s="18"/>
      <c r="T124" s="18"/>
      <c r="U124" s="2" t="str" cm="1">
        <f t="array" ref="U124">_xlfn.TEXTJOIN(", ", TRUE, IF(Y124:CG124="X", $Y$3:$CG$3, ""))</f>
        <v/>
      </c>
      <c r="V124" s="18" t="str" cm="1">
        <f t="array" ref="V124">_xlfn.TEXTJOIN(", ", TRUE, IF(Y124:CG124="X", $Y$2:$CG$2, ""))</f>
        <v/>
      </c>
      <c r="W124" s="2" t="str" cm="1">
        <f t="array" ref="W124">_xlfn.TEXTJOIN(", ", TRUE, IF(CH124:CS124="X", $CH$3:$CS$3, ""))</f>
        <v>Azokak</v>
      </c>
      <c r="X124" s="2" t="str" cm="1">
        <f t="array" ref="X124">_xlfn.TEXTJOIN(", ", TRUE, IF(CT124:CX124="X", $CT$3:$CX$3, ""))</f>
        <v/>
      </c>
      <c r="CH124" s="65" t="s">
        <v>764</v>
      </c>
    </row>
    <row r="125" spans="1:98" ht="18.75" customHeight="1" x14ac:dyDescent="0.25">
      <c r="A125" s="8">
        <v>21</v>
      </c>
      <c r="B125" s="2" t="s">
        <v>868</v>
      </c>
      <c r="C125" s="2" t="s">
        <v>869</v>
      </c>
      <c r="D125" s="29" t="s">
        <v>870</v>
      </c>
      <c r="E125" s="29" t="s">
        <v>871</v>
      </c>
      <c r="F125" s="18">
        <v>27865</v>
      </c>
      <c r="G125" s="8">
        <f ca="1">DATEDIF(F125, TODAY(), "Y")</f>
        <v>50</v>
      </c>
      <c r="H125" s="2" t="s">
        <v>803</v>
      </c>
      <c r="I125" s="2" t="s">
        <v>872</v>
      </c>
      <c r="J125" s="29"/>
      <c r="L125" s="1">
        <v>630386773</v>
      </c>
      <c r="M125" s="30"/>
      <c r="N125" s="31"/>
      <c r="O125" s="31"/>
      <c r="P125" s="2" t="s">
        <v>873</v>
      </c>
      <c r="Q125" s="2" t="s">
        <v>3019</v>
      </c>
      <c r="R125" s="18"/>
      <c r="S125" s="18"/>
      <c r="T125" s="18"/>
      <c r="U125" s="2" t="str" cm="1">
        <f t="array" ref="U125">_xlfn.TEXTJOIN(", ", TRUE, IF(Y125:CG125="X", $Y$3:$CG$3, ""))</f>
        <v>Animalia pentsua</v>
      </c>
      <c r="V125" s="18" t="str" cm="1">
        <f t="array" ref="V125">_xlfn.TEXTJOIN(", ", TRUE, IF(Y125:CG125="X", $Y$2:$CG$2, ""))</f>
        <v>0</v>
      </c>
      <c r="W125" s="2" t="str" cm="1">
        <f t="array" ref="W125">_xlfn.TEXTJOIN(", ", TRUE, IF(CH125:CS125="X", $CH$3:$CS$3, ""))</f>
        <v/>
      </c>
      <c r="X125" s="2" t="str" cm="1">
        <f t="array" ref="X125">_xlfn.TEXTJOIN(", ", TRUE, IF(CT125:CX125="X", $CT$3:$CX$3, ""))</f>
        <v/>
      </c>
      <c r="AQ125" s="65" t="s">
        <v>764</v>
      </c>
    </row>
    <row r="126" spans="1:98" ht="18.75" customHeight="1" x14ac:dyDescent="0.25">
      <c r="A126" s="8">
        <v>22</v>
      </c>
      <c r="B126" s="2" t="s">
        <v>874</v>
      </c>
      <c r="C126" s="2" t="s">
        <v>875</v>
      </c>
      <c r="D126" s="29" t="s">
        <v>876</v>
      </c>
      <c r="E126" s="29" t="s">
        <v>877</v>
      </c>
      <c r="F126" s="18">
        <v>31096</v>
      </c>
      <c r="G126" s="8">
        <f ca="1">DATEDIF(F126, TODAY(), "Y")</f>
        <v>41</v>
      </c>
      <c r="H126" s="2" t="s">
        <v>803</v>
      </c>
      <c r="I126" s="2" t="s">
        <v>878</v>
      </c>
      <c r="J126" s="29"/>
      <c r="L126" s="1">
        <v>943180326</v>
      </c>
      <c r="M126" s="30"/>
      <c r="N126" s="31"/>
      <c r="O126" s="31"/>
      <c r="P126" s="2" t="s">
        <v>879</v>
      </c>
      <c r="Q126" s="2"/>
      <c r="R126" s="18"/>
      <c r="S126" s="18"/>
      <c r="T126" s="18"/>
      <c r="U126" s="2" t="str" cm="1">
        <f t="array" ref="U126">_xlfn.TEXTJOIN(", ", TRUE, IF(Y126:CG126="X", $Y$3:$CG$3, ""))</f>
        <v/>
      </c>
      <c r="V126" s="18" t="str" cm="1">
        <f t="array" ref="V126">_xlfn.TEXTJOIN(", ", TRUE, IF(Y126:CG126="X", $Y$2:$CG$2, ""))</f>
        <v/>
      </c>
      <c r="W126" s="2" t="str" cm="1">
        <f t="array" ref="W126">_xlfn.TEXTJOIN(", ", TRUE, IF(CH126:CS126="X", $CH$3:$CS$3, ""))</f>
        <v/>
      </c>
      <c r="X126" s="2" t="str" cm="1">
        <f t="array" ref="X126">_xlfn.TEXTJOIN(", ", TRUE, IF(CT126:CX126="X", $CT$3:$CX$3, ""))</f>
        <v/>
      </c>
    </row>
    <row r="127" spans="1:98" ht="18.75" customHeight="1" x14ac:dyDescent="0.25">
      <c r="A127" s="8">
        <v>24</v>
      </c>
      <c r="B127" s="2" t="s">
        <v>886</v>
      </c>
      <c r="C127" s="2" t="s">
        <v>887</v>
      </c>
      <c r="D127" s="29" t="s">
        <v>888</v>
      </c>
      <c r="E127" s="29" t="s">
        <v>889</v>
      </c>
      <c r="F127" s="18">
        <v>24142</v>
      </c>
      <c r="G127" s="8">
        <f ca="1">DATEDIF(F127, TODAY(), "Y")</f>
        <v>60</v>
      </c>
      <c r="H127" s="2" t="s">
        <v>803</v>
      </c>
      <c r="I127" s="2" t="s">
        <v>890</v>
      </c>
      <c r="J127" s="29"/>
      <c r="L127" s="1">
        <v>667312362</v>
      </c>
      <c r="M127" s="30"/>
      <c r="N127" s="31"/>
      <c r="O127" s="35"/>
      <c r="P127" s="65" t="s">
        <v>891</v>
      </c>
      <c r="Q127" s="65"/>
      <c r="R127" s="18"/>
      <c r="S127" s="18"/>
      <c r="T127" s="18"/>
      <c r="U127" s="2" t="str" cm="1">
        <f t="array" ref="U127">_xlfn.TEXTJOIN(", ", TRUE, IF(Y127:CG127="X", $Y$3:$CG$3, ""))</f>
        <v/>
      </c>
      <c r="V127" s="18" t="str" cm="1">
        <f t="array" ref="V127">_xlfn.TEXTJOIN(", ", TRUE, IF(Y127:CG127="X", $Y$2:$CG$2, ""))</f>
        <v/>
      </c>
      <c r="W127" s="2" t="str" cm="1">
        <f t="array" ref="W127">_xlfn.TEXTJOIN(", ", TRUE, IF(CH127:CS127="X", $CH$3:$CS$3, ""))</f>
        <v>Harategian</v>
      </c>
      <c r="X127" s="2" t="str" cm="1">
        <f t="array" ref="X127">_xlfn.TEXTJOIN(", ", TRUE, IF(CT127:CX127="X", $CT$3:$CX$3, ""))</f>
        <v/>
      </c>
      <c r="CL127" s="65" t="s">
        <v>764</v>
      </c>
    </row>
    <row r="128" spans="1:98" ht="18.75" customHeight="1" x14ac:dyDescent="0.25">
      <c r="A128" s="8">
        <v>25</v>
      </c>
      <c r="B128" s="2" t="s">
        <v>892</v>
      </c>
      <c r="C128" s="2" t="s">
        <v>893</v>
      </c>
      <c r="D128" s="29" t="s">
        <v>894</v>
      </c>
      <c r="E128" s="29" t="s">
        <v>895</v>
      </c>
      <c r="F128" s="18">
        <v>19088</v>
      </c>
      <c r="G128" s="8">
        <f ca="1">DATEDIF(F128, TODAY(), "Y")</f>
        <v>74</v>
      </c>
      <c r="H128" s="2" t="s">
        <v>803</v>
      </c>
      <c r="I128" s="2" t="s">
        <v>896</v>
      </c>
      <c r="J128" s="29"/>
      <c r="L128" s="1">
        <v>630802147</v>
      </c>
      <c r="M128" s="30"/>
      <c r="N128" s="31"/>
      <c r="O128" s="35"/>
      <c r="P128" s="65" t="s">
        <v>897</v>
      </c>
      <c r="Q128" s="65"/>
      <c r="R128" s="18"/>
      <c r="S128" s="18"/>
      <c r="T128" s="18"/>
      <c r="U128" s="2" t="str" cm="1">
        <f t="array" ref="U128">_xlfn.TEXTJOIN(", ", TRUE, IF(Y128:CG128="X", $Y$3:$CG$3, ""))</f>
        <v/>
      </c>
      <c r="V128" s="18" t="str" cm="1">
        <f t="array" ref="V128">_xlfn.TEXTJOIN(", ", TRUE, IF(Y128:CG128="X", $Y$2:$CG$2, ""))</f>
        <v/>
      </c>
      <c r="W128" s="2" t="str" cm="1">
        <f t="array" ref="W128">_xlfn.TEXTJOIN(", ", TRUE, IF(CH128:CS128="X", $CH$3:$CS$3, ""))</f>
        <v>Harategian, Goierriko nekazal koop (GNK)</v>
      </c>
      <c r="X128" s="2" t="str" cm="1">
        <f t="array" ref="X128">_xlfn.TEXTJOIN(", ", TRUE, IF(CT128:CX128="X", $CT$3:$CX$3, ""))</f>
        <v/>
      </c>
      <c r="CL128" s="65" t="s">
        <v>764</v>
      </c>
      <c r="CS128" s="65" t="s">
        <v>764</v>
      </c>
    </row>
    <row r="129" spans="1:102" ht="18.75" customHeight="1" x14ac:dyDescent="0.25">
      <c r="A129" s="8">
        <v>27</v>
      </c>
      <c r="B129" s="2" t="s">
        <v>905</v>
      </c>
      <c r="C129" s="2" t="s">
        <v>906</v>
      </c>
      <c r="D129" s="29" t="s">
        <v>907</v>
      </c>
      <c r="E129" s="29" t="s">
        <v>908</v>
      </c>
      <c r="F129" s="18">
        <v>22317</v>
      </c>
      <c r="G129" s="8">
        <f ca="1">DATEDIF(F129, TODAY(), "Y")</f>
        <v>65</v>
      </c>
      <c r="H129" s="2" t="s">
        <v>803</v>
      </c>
      <c r="I129" s="2" t="s">
        <v>909</v>
      </c>
      <c r="J129" s="29"/>
      <c r="L129" s="1">
        <v>686632134</v>
      </c>
      <c r="M129" s="30"/>
      <c r="N129" s="77"/>
      <c r="O129" s="77"/>
      <c r="P129" s="2" t="s">
        <v>910</v>
      </c>
      <c r="Q129" s="2" t="s">
        <v>3020</v>
      </c>
      <c r="R129" s="18"/>
      <c r="S129" s="18"/>
      <c r="T129" s="18"/>
      <c r="U129" s="2" t="str" cm="1">
        <f t="array" ref="U129">_xlfn.TEXTJOIN(", ", TRUE, IF(Y129:CG129="X", $Y$3:$CG$3, ""))</f>
        <v>Ardi haragia, Barazki transformatuak, Fruta transformatuak</v>
      </c>
      <c r="V129" s="18" t="str" cm="1">
        <f t="array" ref="V129">_xlfn.TEXTJOIN(", ", TRUE, IF(Y129:CG129="X", $Y$2:$CG$2, ""))</f>
        <v>HARAGIA, ERATORRIAK, ERATORRIAK</v>
      </c>
      <c r="W129" s="2" t="str" cm="1">
        <f t="array" ref="W129">_xlfn.TEXTJOIN(", ", TRUE, IF(CH129:CS129="X", $CH$3:$CS$3, ""))</f>
        <v/>
      </c>
      <c r="X129" s="2" t="str" cm="1">
        <f t="array" ref="X129">_xlfn.TEXTJOIN(", ", TRUE, IF(CT129:CX129="X", $CT$3:$CX$3, ""))</f>
        <v/>
      </c>
      <c r="AC129" s="49"/>
      <c r="AK129" s="3" t="s">
        <v>764</v>
      </c>
      <c r="AU129" s="65" t="s">
        <v>764</v>
      </c>
      <c r="AV129" s="65" t="s">
        <v>764</v>
      </c>
      <c r="CW129" s="49"/>
      <c r="CX129" s="49"/>
    </row>
    <row r="130" spans="1:102" ht="18.75" customHeight="1" x14ac:dyDescent="0.25">
      <c r="A130" s="8">
        <v>30</v>
      </c>
      <c r="B130" s="2" t="s">
        <v>919</v>
      </c>
      <c r="C130" s="2" t="s">
        <v>920</v>
      </c>
      <c r="D130" s="29" t="s">
        <v>921</v>
      </c>
      <c r="E130" s="29" t="s">
        <v>922</v>
      </c>
      <c r="F130" s="18">
        <v>23158</v>
      </c>
      <c r="G130" s="8">
        <f ca="1">DATEDIF(F130, TODAY(), "Y")</f>
        <v>63</v>
      </c>
      <c r="H130" s="2" t="s">
        <v>803</v>
      </c>
      <c r="I130" s="2" t="s">
        <v>789</v>
      </c>
      <c r="J130" s="29"/>
      <c r="L130" s="1"/>
      <c r="M130" s="30"/>
      <c r="N130" s="31"/>
      <c r="O130" s="31"/>
      <c r="P130" s="49"/>
      <c r="Q130" s="49"/>
      <c r="R130" s="18"/>
      <c r="S130" s="18"/>
      <c r="T130" s="18"/>
      <c r="U130" s="2" t="str" cm="1">
        <f t="array" ref="U130">_xlfn.TEXTJOIN(", ", TRUE, IF(Y130:CG130="X", $Y$3:$CG$3, ""))</f>
        <v/>
      </c>
      <c r="V130" s="18" t="str" cm="1">
        <f t="array" ref="V130">_xlfn.TEXTJOIN(", ", TRUE, IF(Y130:CG130="X", $Y$2:$CG$2, ""))</f>
        <v/>
      </c>
      <c r="W130" s="2" t="str" cm="1">
        <f t="array" ref="W130">_xlfn.TEXTJOIN(", ", TRUE, IF(CH130:CS130="X", $CH$3:$CS$3, ""))</f>
        <v/>
      </c>
      <c r="X130" s="2" t="str" cm="1">
        <f t="array" ref="X130">_xlfn.TEXTJOIN(", ", TRUE, IF(CT130:CX130="X", $CT$3:$CX$3, ""))</f>
        <v/>
      </c>
      <c r="AC130" s="82"/>
      <c r="CW130" s="82"/>
      <c r="CX130" s="82"/>
    </row>
    <row r="131" spans="1:102" ht="18.75" customHeight="1" x14ac:dyDescent="0.25">
      <c r="A131" s="8">
        <v>31</v>
      </c>
      <c r="B131" s="2" t="s">
        <v>923</v>
      </c>
      <c r="C131" s="2" t="s">
        <v>924</v>
      </c>
      <c r="D131" s="29" t="s">
        <v>925</v>
      </c>
      <c r="E131" s="29" t="s">
        <v>926</v>
      </c>
      <c r="F131" s="18">
        <v>22591</v>
      </c>
      <c r="G131" s="8">
        <f ca="1">DATEDIF(F131, TODAY(), "Y")</f>
        <v>64</v>
      </c>
      <c r="H131" s="2" t="s">
        <v>803</v>
      </c>
      <c r="I131" s="2" t="s">
        <v>927</v>
      </c>
      <c r="J131" s="29"/>
      <c r="L131" s="1">
        <v>609706312</v>
      </c>
      <c r="M131" s="30"/>
      <c r="N131" s="31"/>
      <c r="O131" s="31"/>
      <c r="P131" s="2" t="s">
        <v>928</v>
      </c>
      <c r="Q131" s="2"/>
      <c r="R131" s="18"/>
      <c r="S131" s="18"/>
      <c r="T131" s="18"/>
      <c r="U131" s="2" t="str" cm="1">
        <f t="array" ref="U131">_xlfn.TEXTJOIN(", ", TRUE, IF(Y131:CG131="X", $Y$3:$CG$3, ""))</f>
        <v/>
      </c>
      <c r="V131" s="18" t="str" cm="1">
        <f t="array" ref="V131">_xlfn.TEXTJOIN(", ", TRUE, IF(Y131:CG131="X", $Y$2:$CG$2, ""))</f>
        <v/>
      </c>
      <c r="W131" s="2" t="str" cm="1">
        <f t="array" ref="W131">_xlfn.TEXTJOIN(", ", TRUE, IF(CH131:CS131="X", $CH$3:$CS$3, ""))</f>
        <v/>
      </c>
      <c r="X131" s="2" t="str" cm="1">
        <f t="array" ref="X131">_xlfn.TEXTJOIN(", ", TRUE, IF(CT131:CX131="X", $CT$3:$CX$3, ""))</f>
        <v/>
      </c>
    </row>
    <row r="132" spans="1:102" ht="18.75" customHeight="1" x14ac:dyDescent="0.25">
      <c r="A132" s="8">
        <v>32</v>
      </c>
      <c r="B132" s="2" t="s">
        <v>929</v>
      </c>
      <c r="C132" s="2" t="s">
        <v>930</v>
      </c>
      <c r="D132" s="29" t="s">
        <v>931</v>
      </c>
      <c r="E132" s="29" t="s">
        <v>932</v>
      </c>
      <c r="F132" s="18">
        <v>24220</v>
      </c>
      <c r="G132" s="8">
        <f ca="1">DATEDIF(F132, TODAY(), "Y")</f>
        <v>60</v>
      </c>
      <c r="H132" s="2" t="s">
        <v>803</v>
      </c>
      <c r="I132" s="2" t="s">
        <v>933</v>
      </c>
      <c r="J132" s="29"/>
      <c r="L132" s="1">
        <v>608249614</v>
      </c>
      <c r="M132" s="30"/>
      <c r="N132" s="31"/>
      <c r="O132" s="31"/>
      <c r="P132" s="2" t="s">
        <v>934</v>
      </c>
      <c r="Q132" s="2"/>
      <c r="R132" s="18"/>
      <c r="S132" s="18"/>
      <c r="T132" s="18"/>
      <c r="U132" s="2" t="str" cm="1">
        <f t="array" ref="U132">_xlfn.TEXTJOIN(", ", TRUE, IF(Y132:CG132="X", $Y$3:$CG$3, ""))</f>
        <v/>
      </c>
      <c r="V132" s="18" t="str" cm="1">
        <f t="array" ref="V132">_xlfn.TEXTJOIN(", ", TRUE, IF(Y132:CG132="X", $Y$2:$CG$2, ""))</f>
        <v/>
      </c>
      <c r="W132" s="2" t="str" cm="1">
        <f t="array" ref="W132">_xlfn.TEXTJOIN(", ", TRUE, IF(CH132:CS132="X", $CH$3:$CS$3, ""))</f>
        <v/>
      </c>
      <c r="X132" s="2" t="str" cm="1">
        <f t="array" ref="X132">_xlfn.TEXTJOIN(", ", TRUE, IF(CT132:CX132="X", $CT$3:$CX$3, ""))</f>
        <v/>
      </c>
    </row>
    <row r="133" spans="1:102" ht="18.75" customHeight="1" x14ac:dyDescent="0.25">
      <c r="A133" s="8">
        <v>33</v>
      </c>
      <c r="B133" s="2" t="s">
        <v>935</v>
      </c>
      <c r="C133" s="2" t="s">
        <v>936</v>
      </c>
      <c r="D133" s="29" t="s">
        <v>937</v>
      </c>
      <c r="E133" s="29" t="s">
        <v>938</v>
      </c>
      <c r="F133" s="18">
        <v>12962</v>
      </c>
      <c r="G133" s="8">
        <f ca="1">DATEDIF(F133, TODAY(), "Y")</f>
        <v>91</v>
      </c>
      <c r="H133" s="2" t="s">
        <v>803</v>
      </c>
      <c r="I133" s="2" t="s">
        <v>939</v>
      </c>
      <c r="J133" s="29"/>
      <c r="L133" s="1"/>
      <c r="M133" s="30"/>
      <c r="N133" s="31"/>
      <c r="O133" s="31"/>
      <c r="P133" s="49"/>
      <c r="Q133" s="49"/>
      <c r="R133" s="18"/>
      <c r="S133" s="18"/>
      <c r="T133" s="18"/>
      <c r="U133" s="2" t="str" cm="1">
        <f t="array" ref="U133">_xlfn.TEXTJOIN(", ", TRUE, IF(Y133:CG133="X", $Y$3:$CG$3, ""))</f>
        <v>Landareak</v>
      </c>
      <c r="V133" s="18" t="str" cm="1">
        <f t="array" ref="V133">_xlfn.TEXTJOIN(", ", TRUE, IF(Y133:CG133="X", $Y$2:$CG$2, ""))</f>
        <v>LANDAREAK</v>
      </c>
      <c r="W133" s="2" t="str" cm="1">
        <f t="array" ref="W133">_xlfn.TEXTJOIN(", ", TRUE, IF(CH133:CS133="X", $CH$3:$CS$3, ""))</f>
        <v>Azokak</v>
      </c>
      <c r="X133" s="2" t="str" cm="1">
        <f t="array" ref="X133">_xlfn.TEXTJOIN(", ", TRUE, IF(CT133:CX133="X", $CT$3:$CX$3, ""))</f>
        <v/>
      </c>
      <c r="BW133" s="65" t="s">
        <v>764</v>
      </c>
      <c r="CH133" s="65" t="s">
        <v>764</v>
      </c>
    </row>
    <row r="134" spans="1:102" ht="18.75" customHeight="1" x14ac:dyDescent="0.25">
      <c r="A134" s="8">
        <v>34</v>
      </c>
      <c r="B134" s="2" t="s">
        <v>940</v>
      </c>
      <c r="C134" s="2" t="s">
        <v>941</v>
      </c>
      <c r="D134" s="29" t="s">
        <v>942</v>
      </c>
      <c r="E134" s="29" t="s">
        <v>943</v>
      </c>
      <c r="F134" s="18"/>
      <c r="G134" s="8">
        <f ca="1">DATEDIF(F134, TODAY(), "Y")</f>
        <v>126</v>
      </c>
      <c r="H134" s="2" t="s">
        <v>803</v>
      </c>
      <c r="I134" s="2" t="s">
        <v>944</v>
      </c>
      <c r="J134" s="29"/>
      <c r="L134" s="1">
        <v>689805082</v>
      </c>
      <c r="M134" s="30"/>
      <c r="N134" s="31"/>
      <c r="O134" s="35"/>
      <c r="P134" s="65" t="s">
        <v>945</v>
      </c>
      <c r="Q134" s="65"/>
      <c r="R134" s="82"/>
      <c r="S134" s="82"/>
      <c r="T134" s="82"/>
      <c r="U134" s="2" t="str" cm="1">
        <f t="array" ref="U134">_xlfn.TEXTJOIN(", ", TRUE, IF(Y134:CG134="X", $Y$3:$CG$3, ""))</f>
        <v/>
      </c>
      <c r="V134" s="18" t="str" cm="1">
        <f t="array" ref="V134">_xlfn.TEXTJOIN(", ", TRUE, IF(Y134:CG134="X", $Y$2:$CG$2, ""))</f>
        <v/>
      </c>
      <c r="W134" s="2" t="str" cm="1">
        <f t="array" ref="W134">_xlfn.TEXTJOIN(", ", TRUE, IF(CH134:CS134="X", $CH$3:$CS$3, ""))</f>
        <v/>
      </c>
      <c r="X134" s="2" t="str" cm="1">
        <f t="array" ref="X134">_xlfn.TEXTJOIN(", ", TRUE, IF(CT134:CX134="X", $CT$3:$CX$3, ""))</f>
        <v/>
      </c>
    </row>
    <row r="135" spans="1:102" ht="18.75" customHeight="1" x14ac:dyDescent="0.25">
      <c r="A135" s="8">
        <v>35</v>
      </c>
      <c r="B135" s="2" t="s">
        <v>946</v>
      </c>
      <c r="C135" s="2" t="s">
        <v>947</v>
      </c>
      <c r="D135" s="29" t="s">
        <v>948</v>
      </c>
      <c r="E135" s="29" t="s">
        <v>949</v>
      </c>
      <c r="F135" s="18">
        <v>25654</v>
      </c>
      <c r="G135" s="8">
        <f ca="1">DATEDIF(F135, TODAY(), "Y")</f>
        <v>56</v>
      </c>
      <c r="H135" s="2" t="s">
        <v>803</v>
      </c>
      <c r="I135" s="2" t="s">
        <v>950</v>
      </c>
      <c r="J135" s="29"/>
      <c r="L135" s="1">
        <v>635204922</v>
      </c>
      <c r="M135" s="30"/>
      <c r="N135" s="31"/>
      <c r="O135" s="31"/>
      <c r="P135" s="2" t="s">
        <v>951</v>
      </c>
      <c r="Q135" s="2"/>
      <c r="R135" s="18"/>
      <c r="S135" s="18"/>
      <c r="T135" s="18"/>
      <c r="U135" s="2" t="str" cm="1">
        <f t="array" ref="U135">_xlfn.TEXTJOIN(", ", TRUE, IF(Y135:CG135="X", $Y$3:$CG$3, ""))</f>
        <v/>
      </c>
      <c r="V135" s="18" t="str" cm="1">
        <f t="array" ref="V135">_xlfn.TEXTJOIN(", ", TRUE, IF(Y135:CG135="X", $Y$2:$CG$2, ""))</f>
        <v/>
      </c>
      <c r="W135" s="2" t="str" cm="1">
        <f t="array" ref="W135">_xlfn.TEXTJOIN(", ", TRUE, IF(CH135:CS135="X", $CH$3:$CS$3, ""))</f>
        <v/>
      </c>
      <c r="X135" s="2" t="str" cm="1">
        <f t="array" ref="X135">_xlfn.TEXTJOIN(", ", TRUE, IF(CT135:CX135="X", $CT$3:$CX$3, ""))</f>
        <v/>
      </c>
    </row>
    <row r="136" spans="1:102" ht="18.75" customHeight="1" x14ac:dyDescent="0.25">
      <c r="A136" s="8">
        <v>37</v>
      </c>
      <c r="B136" s="2" t="s">
        <v>952</v>
      </c>
      <c r="C136" s="2" t="s">
        <v>953</v>
      </c>
      <c r="D136" s="29" t="s">
        <v>954</v>
      </c>
      <c r="E136" s="29" t="s">
        <v>955</v>
      </c>
      <c r="F136" s="18">
        <v>28358</v>
      </c>
      <c r="G136" s="8">
        <f ca="1">DATEDIF(F136, TODAY(), "Y")</f>
        <v>48</v>
      </c>
      <c r="H136" s="2" t="s">
        <v>803</v>
      </c>
      <c r="I136" s="2" t="s">
        <v>956</v>
      </c>
      <c r="J136" s="29"/>
      <c r="L136" s="1">
        <v>617866334</v>
      </c>
      <c r="M136" s="30"/>
      <c r="N136" s="31"/>
      <c r="O136" s="31"/>
      <c r="P136" s="2" t="s">
        <v>957</v>
      </c>
      <c r="Q136" s="2"/>
      <c r="R136" s="18"/>
      <c r="S136" s="18"/>
      <c r="T136" s="18"/>
      <c r="U136" s="2" t="str" cm="1">
        <f t="array" ref="U136">_xlfn.TEXTJOIN(", ", TRUE, IF(Y136:CG136="X", $Y$3:$CG$3, ""))</f>
        <v/>
      </c>
      <c r="V136" s="18" t="str" cm="1">
        <f t="array" ref="V136">_xlfn.TEXTJOIN(", ", TRUE, IF(Y136:CG136="X", $Y$2:$CG$2, ""))</f>
        <v/>
      </c>
      <c r="W136" s="2" t="str" cm="1">
        <f t="array" ref="W136">_xlfn.TEXTJOIN(", ", TRUE, IF(CH136:CS136="X", $CH$3:$CS$3, ""))</f>
        <v/>
      </c>
      <c r="X136" s="2" t="str" cm="1">
        <f t="array" ref="X136">_xlfn.TEXTJOIN(", ", TRUE, IF(CT136:CX136="X", $CT$3:$CX$3, ""))</f>
        <v/>
      </c>
    </row>
    <row r="137" spans="1:102" ht="18.75" customHeight="1" x14ac:dyDescent="0.25">
      <c r="A137" s="8">
        <v>38</v>
      </c>
      <c r="B137" s="2" t="s">
        <v>958</v>
      </c>
      <c r="C137" s="2" t="s">
        <v>959</v>
      </c>
      <c r="D137" s="29" t="s">
        <v>960</v>
      </c>
      <c r="E137" s="29" t="s">
        <v>961</v>
      </c>
      <c r="F137" s="18">
        <v>22996</v>
      </c>
      <c r="G137" s="8">
        <f ca="1">DATEDIF(F137, TODAY(), "Y")</f>
        <v>63</v>
      </c>
      <c r="H137" s="2" t="s">
        <v>803</v>
      </c>
      <c r="I137" s="2" t="s">
        <v>962</v>
      </c>
      <c r="J137" s="29"/>
      <c r="L137" s="1">
        <v>636980962</v>
      </c>
      <c r="M137" s="30"/>
      <c r="N137" s="31"/>
      <c r="O137" s="31"/>
      <c r="P137" s="2" t="s">
        <v>963</v>
      </c>
      <c r="Q137" s="2"/>
      <c r="R137" s="18"/>
      <c r="S137" s="18"/>
      <c r="T137" s="18"/>
      <c r="U137" s="2" t="str" cm="1">
        <f t="array" ref="U137">_xlfn.TEXTJOIN(", ", TRUE, IF(Y137:CG137="X", $Y$3:$CG$3, ""))</f>
        <v/>
      </c>
      <c r="V137" s="18" t="str" cm="1">
        <f t="array" ref="V137">_xlfn.TEXTJOIN(", ", TRUE, IF(Y137:CG137="X", $Y$2:$CG$2, ""))</f>
        <v/>
      </c>
      <c r="W137" s="2" t="str" cm="1">
        <f t="array" ref="W137">_xlfn.TEXTJOIN(", ", TRUE, IF(CH137:CS137="X", $CH$3:$CS$3, ""))</f>
        <v/>
      </c>
      <c r="X137" s="2" t="str" cm="1">
        <f t="array" ref="X137">_xlfn.TEXTJOIN(", ", TRUE, IF(CT137:CX137="X", $CT$3:$CX$3, ""))</f>
        <v/>
      </c>
    </row>
    <row r="138" spans="1:102" ht="18.75" customHeight="1" x14ac:dyDescent="0.25">
      <c r="A138" s="8">
        <v>39</v>
      </c>
      <c r="B138" s="2" t="s">
        <v>964</v>
      </c>
      <c r="C138" s="2" t="s">
        <v>965</v>
      </c>
      <c r="D138" s="29" t="s">
        <v>966</v>
      </c>
      <c r="E138" s="29" t="s">
        <v>967</v>
      </c>
      <c r="F138" s="18">
        <v>18118</v>
      </c>
      <c r="G138" s="8">
        <f ca="1">DATEDIF(F138, TODAY(), "Y")</f>
        <v>76</v>
      </c>
      <c r="H138" s="2" t="s">
        <v>803</v>
      </c>
      <c r="I138" s="2" t="s">
        <v>968</v>
      </c>
      <c r="J138" s="29"/>
      <c r="L138" s="1"/>
      <c r="M138" s="30"/>
      <c r="N138" s="31"/>
      <c r="O138" s="31"/>
      <c r="P138" s="49"/>
      <c r="Q138" s="49"/>
      <c r="R138" s="18"/>
      <c r="S138" s="18"/>
      <c r="T138" s="18"/>
      <c r="U138" s="2" t="str" cm="1">
        <f t="array" ref="U138">_xlfn.TEXTJOIN(", ", TRUE, IF(Y138:CG138="X", $Y$3:$CG$3, ""))</f>
        <v/>
      </c>
      <c r="V138" s="18" t="str" cm="1">
        <f t="array" ref="V138">_xlfn.TEXTJOIN(", ", TRUE, IF(Y138:CG138="X", $Y$2:$CG$2, ""))</f>
        <v/>
      </c>
      <c r="W138" s="2" t="str" cm="1">
        <f t="array" ref="W138">_xlfn.TEXTJOIN(", ", TRUE, IF(CH138:CS138="X", $CH$3:$CS$3, ""))</f>
        <v/>
      </c>
      <c r="X138" s="2" t="str" cm="1">
        <f t="array" ref="X138">_xlfn.TEXTJOIN(", ", TRUE, IF(CT138:CX138="X", $CT$3:$CX$3, ""))</f>
        <v/>
      </c>
    </row>
    <row r="139" spans="1:102" ht="18.75" customHeight="1" x14ac:dyDescent="0.25">
      <c r="A139" s="8">
        <v>40</v>
      </c>
      <c r="B139" s="2" t="s">
        <v>969</v>
      </c>
      <c r="C139" s="2" t="s">
        <v>970</v>
      </c>
      <c r="D139" s="29" t="s">
        <v>971</v>
      </c>
      <c r="E139" s="29" t="s">
        <v>972</v>
      </c>
      <c r="F139" s="18">
        <v>25631</v>
      </c>
      <c r="G139" s="8">
        <f ca="1">DATEDIF(F139, TODAY(), "Y")</f>
        <v>56</v>
      </c>
      <c r="H139" s="2" t="s">
        <v>803</v>
      </c>
      <c r="I139" s="2" t="s">
        <v>973</v>
      </c>
      <c r="J139" s="29"/>
      <c r="L139" s="1">
        <v>602430119</v>
      </c>
      <c r="M139" s="30"/>
      <c r="N139" s="31"/>
      <c r="O139" s="31"/>
      <c r="P139" s="2" t="s">
        <v>974</v>
      </c>
      <c r="Q139" s="2"/>
      <c r="R139" s="18"/>
      <c r="S139" s="18"/>
      <c r="T139" s="18"/>
      <c r="U139" s="2" t="str" cm="1">
        <f t="array" ref="U139">_xlfn.TEXTJOIN(", ", TRUE, IF(Y139:CG139="X", $Y$3:$CG$3, ""))</f>
        <v>Ardi haragia</v>
      </c>
      <c r="V139" s="18" t="str" cm="1">
        <f t="array" ref="V139">_xlfn.TEXTJOIN(", ", TRUE, IF(Y139:CG139="X", $Y$2:$CG$2, ""))</f>
        <v>HARAGIA</v>
      </c>
      <c r="W139" s="2" t="str" cm="1">
        <f t="array" ref="W139">_xlfn.TEXTJOIN(", ", TRUE, IF(CH139:CS139="X", $CH$3:$CS$3, ""))</f>
        <v/>
      </c>
      <c r="X139" s="2" t="str" cm="1">
        <f t="array" ref="X139">_xlfn.TEXTJOIN(", ", TRUE, IF(CT139:CX139="X", $CT$3:$CX$3, ""))</f>
        <v/>
      </c>
      <c r="AK139" s="3" t="s">
        <v>764</v>
      </c>
      <c r="CW139" s="49"/>
      <c r="CX139" s="49"/>
    </row>
    <row r="140" spans="1:102" ht="18.75" customHeight="1" x14ac:dyDescent="0.25">
      <c r="A140" s="8">
        <v>41</v>
      </c>
      <c r="B140" s="2" t="s">
        <v>975</v>
      </c>
      <c r="C140" s="2" t="s">
        <v>976</v>
      </c>
      <c r="D140" s="29" t="s">
        <v>977</v>
      </c>
      <c r="E140" s="29" t="s">
        <v>978</v>
      </c>
      <c r="F140" s="18">
        <v>27369</v>
      </c>
      <c r="G140" s="8">
        <f ca="1">DATEDIF(F140, TODAY(), "Y")</f>
        <v>51</v>
      </c>
      <c r="H140" s="2" t="s">
        <v>803</v>
      </c>
      <c r="I140" s="2" t="s">
        <v>979</v>
      </c>
      <c r="J140" s="29"/>
      <c r="L140" s="1">
        <v>626217231</v>
      </c>
      <c r="M140" s="30"/>
      <c r="N140" s="31"/>
      <c r="O140" s="31"/>
      <c r="P140" s="2" t="s">
        <v>980</v>
      </c>
      <c r="Q140" s="29"/>
      <c r="R140" s="67"/>
      <c r="S140" s="67"/>
      <c r="T140" s="67"/>
      <c r="U140" s="2" t="str" cm="1">
        <f t="array" ref="U140">_xlfn.TEXTJOIN(", ", TRUE, IF(Y140:CG140="X", $Y$3:$CG$3, ""))</f>
        <v>Ardi haragia</v>
      </c>
      <c r="V140" s="18" t="str" cm="1">
        <f t="array" ref="V140">_xlfn.TEXTJOIN(", ", TRUE, IF(Y140:CG140="X", $Y$2:$CG$2, ""))</f>
        <v>HARAGIA</v>
      </c>
      <c r="W140" s="2" t="str" cm="1">
        <f t="array" ref="W140">_xlfn.TEXTJOIN(", ", TRUE, IF(CH140:CS140="X", $CH$3:$CS$3, ""))</f>
        <v/>
      </c>
      <c r="X140" s="2" t="str" cm="1">
        <f t="array" ref="X140">_xlfn.TEXTJOIN(", ", TRUE, IF(CT140:CX140="X", $CT$3:$CX$3, ""))</f>
        <v/>
      </c>
      <c r="AK140" s="3" t="s">
        <v>764</v>
      </c>
      <c r="CW140" s="82"/>
      <c r="CX140" s="82"/>
    </row>
    <row r="141" spans="1:102" ht="18.75" customHeight="1" x14ac:dyDescent="0.25">
      <c r="A141" s="8">
        <v>42</v>
      </c>
      <c r="B141" s="2" t="s">
        <v>981</v>
      </c>
      <c r="C141" s="2" t="s">
        <v>982</v>
      </c>
      <c r="D141" s="29" t="s">
        <v>983</v>
      </c>
      <c r="E141" s="29" t="s">
        <v>984</v>
      </c>
      <c r="F141" s="18">
        <v>18975</v>
      </c>
      <c r="G141" s="8">
        <f ca="1">DATEDIF(F141, TODAY(), "Y")</f>
        <v>74</v>
      </c>
      <c r="H141" s="2" t="s">
        <v>803</v>
      </c>
      <c r="I141" s="2" t="s">
        <v>985</v>
      </c>
      <c r="J141" s="29"/>
      <c r="L141" s="1">
        <v>631220707</v>
      </c>
      <c r="M141" s="30"/>
      <c r="N141" s="31"/>
      <c r="O141" s="31"/>
      <c r="P141" s="2" t="s">
        <v>986</v>
      </c>
      <c r="Q141" s="2"/>
      <c r="R141" s="18"/>
      <c r="S141" s="18"/>
      <c r="T141" s="18"/>
      <c r="U141" s="2" t="str" cm="1">
        <f t="array" ref="U141">_xlfn.TEXTJOIN(", ", TRUE, IF(Y141:CG141="X", $Y$3:$CG$3, ""))</f>
        <v/>
      </c>
      <c r="V141" s="18" t="str" cm="1">
        <f t="array" ref="V141">_xlfn.TEXTJOIN(", ", TRUE, IF(Y141:CG141="X", $Y$2:$CG$2, ""))</f>
        <v/>
      </c>
      <c r="W141" s="2" t="str" cm="1">
        <f t="array" ref="W141">_xlfn.TEXTJOIN(", ", TRUE, IF(CH141:CS141="X", $CH$3:$CS$3, ""))</f>
        <v/>
      </c>
      <c r="X141" s="2" t="str" cm="1">
        <f t="array" ref="X141">_xlfn.TEXTJOIN(", ", TRUE, IF(CT141:CX141="X", $CT$3:$CX$3, ""))</f>
        <v/>
      </c>
    </row>
    <row r="142" spans="1:102" ht="18.75" customHeight="1" x14ac:dyDescent="0.25">
      <c r="A142" s="8">
        <v>43</v>
      </c>
      <c r="B142" s="2" t="s">
        <v>987</v>
      </c>
      <c r="C142" s="2" t="s">
        <v>988</v>
      </c>
      <c r="D142" s="29" t="s">
        <v>989</v>
      </c>
      <c r="E142" s="29" t="s">
        <v>990</v>
      </c>
      <c r="F142" s="18">
        <v>29172</v>
      </c>
      <c r="G142" s="8">
        <f ca="1">DATEDIF(F142, TODAY(), "Y")</f>
        <v>46</v>
      </c>
      <c r="H142" s="2" t="s">
        <v>803</v>
      </c>
      <c r="I142" s="2" t="s">
        <v>991</v>
      </c>
      <c r="J142" s="29"/>
      <c r="L142" s="1">
        <v>679302231</v>
      </c>
      <c r="M142" s="30"/>
      <c r="N142" s="31"/>
      <c r="O142" s="31"/>
      <c r="P142" s="2" t="s">
        <v>992</v>
      </c>
      <c r="Q142" s="2"/>
      <c r="R142" s="18"/>
      <c r="S142" s="18"/>
      <c r="T142" s="18"/>
      <c r="U142" s="2" t="str" cm="1">
        <f t="array" ref="U142">_xlfn.TEXTJOIN(", ", TRUE, IF(Y142:CG142="X", $Y$3:$CG$3, ""))</f>
        <v/>
      </c>
      <c r="V142" s="18" t="str" cm="1">
        <f t="array" ref="V142">_xlfn.TEXTJOIN(", ", TRUE, IF(Y142:CG142="X", $Y$2:$CG$2, ""))</f>
        <v/>
      </c>
      <c r="W142" s="2" t="str" cm="1">
        <f t="array" ref="W142">_xlfn.TEXTJOIN(", ", TRUE, IF(CH142:CS142="X", $CH$3:$CS$3, ""))</f>
        <v/>
      </c>
      <c r="X142" s="2" t="str" cm="1">
        <f t="array" ref="X142">_xlfn.TEXTJOIN(", ", TRUE, IF(CT142:CX142="X", $CT$3:$CX$3, ""))</f>
        <v/>
      </c>
    </row>
    <row r="143" spans="1:102" ht="18.75" customHeight="1" x14ac:dyDescent="0.25">
      <c r="A143" s="8">
        <v>44</v>
      </c>
      <c r="B143" s="2" t="s">
        <v>993</v>
      </c>
      <c r="C143" s="2" t="s">
        <v>994</v>
      </c>
      <c r="D143" s="29" t="s">
        <v>995</v>
      </c>
      <c r="E143" s="29" t="s">
        <v>996</v>
      </c>
      <c r="F143" s="18">
        <v>20589</v>
      </c>
      <c r="G143" s="8">
        <f ca="1">DATEDIF(F143, TODAY(), "Y")</f>
        <v>70</v>
      </c>
      <c r="H143" s="2" t="s">
        <v>803</v>
      </c>
      <c r="I143" s="2" t="s">
        <v>997</v>
      </c>
      <c r="J143" s="29"/>
      <c r="L143" s="1">
        <v>606928650</v>
      </c>
      <c r="M143" s="30"/>
      <c r="N143" s="31"/>
      <c r="O143" s="31"/>
      <c r="P143" s="2" t="s">
        <v>998</v>
      </c>
      <c r="Q143" s="2"/>
      <c r="R143" s="18"/>
      <c r="S143" s="18"/>
      <c r="T143" s="18"/>
      <c r="U143" s="2" t="str" cm="1">
        <f t="array" ref="U143">_xlfn.TEXTJOIN(", ", TRUE, IF(Y143:CG143="X", $Y$3:$CG$3, ""))</f>
        <v/>
      </c>
      <c r="V143" s="18" t="str" cm="1">
        <f t="array" ref="V143">_xlfn.TEXTJOIN(", ", TRUE, IF(Y143:CG143="X", $Y$2:$CG$2, ""))</f>
        <v/>
      </c>
      <c r="W143" s="2" t="str" cm="1">
        <f t="array" ref="W143">_xlfn.TEXTJOIN(", ", TRUE, IF(CH143:CS143="X", $CH$3:$CS$3, ""))</f>
        <v/>
      </c>
      <c r="X143" s="2" t="str" cm="1">
        <f t="array" ref="X143">_xlfn.TEXTJOIN(", ", TRUE, IF(CT143:CX143="X", $CT$3:$CX$3, ""))</f>
        <v/>
      </c>
    </row>
    <row r="144" spans="1:102" ht="18.75" customHeight="1" x14ac:dyDescent="0.25">
      <c r="A144" s="8">
        <v>45</v>
      </c>
      <c r="B144" s="2" t="s">
        <v>999</v>
      </c>
      <c r="C144" s="2" t="s">
        <v>1000</v>
      </c>
      <c r="D144" s="29" t="s">
        <v>1001</v>
      </c>
      <c r="E144" s="29" t="s">
        <v>1002</v>
      </c>
      <c r="F144" s="18">
        <v>25676</v>
      </c>
      <c r="G144" s="8">
        <f ca="1">DATEDIF(F144, TODAY(), "Y")</f>
        <v>56</v>
      </c>
      <c r="H144" s="2" t="s">
        <v>457</v>
      </c>
      <c r="I144" s="2" t="s">
        <v>1003</v>
      </c>
      <c r="J144" s="29"/>
      <c r="L144" s="1">
        <v>656723759</v>
      </c>
      <c r="M144" s="30"/>
      <c r="N144" s="31"/>
      <c r="O144" s="31"/>
      <c r="P144" s="2" t="s">
        <v>1004</v>
      </c>
      <c r="Q144" s="2" t="s">
        <v>3020</v>
      </c>
      <c r="R144" s="18"/>
      <c r="S144" s="18"/>
      <c r="T144" s="18"/>
      <c r="U144" s="2" t="str" cm="1">
        <f t="array" ref="U144">_xlfn.TEXTJOIN(", ", TRUE, IF(Y144:CG144="X", $Y$3:$CG$3, ""))</f>
        <v>Fruta</v>
      </c>
      <c r="V144" s="18" t="str" cm="1">
        <f t="array" ref="V144">_xlfn.TEXTJOIN(", ", TRUE, IF(Y144:CG144="X", $Y$2:$CG$2, ""))</f>
        <v>FRUTA</v>
      </c>
      <c r="W144" s="2" t="str" cm="1">
        <f t="array" ref="W144">_xlfn.TEXTJOIN(", ", TRUE, IF(CH144:CS144="X", $CH$3:$CS$3, ""))</f>
        <v/>
      </c>
      <c r="X144" s="2" t="str" cm="1">
        <f t="array" ref="X144">_xlfn.TEXTJOIN(", ", TRUE, IF(CT144:CX144="X", $CT$3:$CX$3, ""))</f>
        <v>Ekologikoa</v>
      </c>
      <c r="BD144" s="65" t="s">
        <v>764</v>
      </c>
      <c r="CT144" s="65" t="s">
        <v>764</v>
      </c>
    </row>
    <row r="145" spans="1:102" ht="18.75" customHeight="1" x14ac:dyDescent="0.25">
      <c r="A145" s="8">
        <v>46</v>
      </c>
      <c r="B145" s="2" t="s">
        <v>1005</v>
      </c>
      <c r="C145" s="2" t="s">
        <v>1006</v>
      </c>
      <c r="D145" s="29" t="s">
        <v>1007</v>
      </c>
      <c r="E145" s="29" t="s">
        <v>1008</v>
      </c>
      <c r="F145" s="18">
        <v>20940</v>
      </c>
      <c r="G145" s="8">
        <f ca="1">DATEDIF(F145, TODAY(), "Y")</f>
        <v>69</v>
      </c>
      <c r="H145" s="2" t="s">
        <v>457</v>
      </c>
      <c r="I145" s="2" t="s">
        <v>1009</v>
      </c>
      <c r="J145" s="29"/>
      <c r="L145" s="1">
        <v>615741620</v>
      </c>
      <c r="M145" s="30"/>
      <c r="N145" s="31"/>
      <c r="O145" s="31"/>
      <c r="P145" s="2" t="s">
        <v>1010</v>
      </c>
      <c r="Q145" s="29"/>
      <c r="R145" s="67"/>
      <c r="S145" s="67"/>
      <c r="T145" s="67"/>
      <c r="U145" s="2" t="str" cm="1">
        <f t="array" ref="U145">_xlfn.TEXTJOIN(", ", TRUE, IF(Y145:CG145="X", $Y$3:$CG$3, ""))</f>
        <v/>
      </c>
      <c r="V145" s="18" t="str" cm="1">
        <f t="array" ref="V145">_xlfn.TEXTJOIN(", ", TRUE, IF(Y145:CG145="X", $Y$2:$CG$2, ""))</f>
        <v/>
      </c>
      <c r="W145" s="2" t="str" cm="1">
        <f t="array" ref="W145">_xlfn.TEXTJOIN(", ", TRUE, IF(CH145:CS145="X", $CH$3:$CS$3, ""))</f>
        <v/>
      </c>
      <c r="X145" s="2" t="str" cm="1">
        <f t="array" ref="X145">_xlfn.TEXTJOIN(", ", TRUE, IF(CT145:CX145="X", $CT$3:$CX$3, ""))</f>
        <v/>
      </c>
    </row>
    <row r="146" spans="1:102" ht="18.75" customHeight="1" x14ac:dyDescent="0.25">
      <c r="A146" s="8">
        <v>47</v>
      </c>
      <c r="B146" s="2" t="s">
        <v>1011</v>
      </c>
      <c r="C146" s="2" t="s">
        <v>1012</v>
      </c>
      <c r="D146" s="29" t="s">
        <v>1013</v>
      </c>
      <c r="E146" s="29" t="s">
        <v>1014</v>
      </c>
      <c r="F146" s="18">
        <v>20517</v>
      </c>
      <c r="G146" s="8">
        <f ca="1">DATEDIF(F146, TODAY(), "Y")</f>
        <v>70</v>
      </c>
      <c r="H146" s="2" t="s">
        <v>457</v>
      </c>
      <c r="I146" s="2" t="s">
        <v>1015</v>
      </c>
      <c r="J146" s="29"/>
      <c r="L146" s="1">
        <v>690121169</v>
      </c>
      <c r="M146" s="30"/>
      <c r="N146" s="31"/>
      <c r="O146" s="31"/>
      <c r="P146" s="2" t="s">
        <v>1016</v>
      </c>
      <c r="Q146" s="2"/>
      <c r="R146" s="18"/>
      <c r="S146" s="18"/>
      <c r="T146" s="18"/>
      <c r="U146" s="2" t="str" cm="1">
        <f t="array" ref="U146">_xlfn.TEXTJOIN(", ", TRUE, IF(Y146:CG146="X", $Y$3:$CG$3, ""))</f>
        <v/>
      </c>
      <c r="V146" s="18" t="str" cm="1">
        <f t="array" ref="V146">_xlfn.TEXTJOIN(", ", TRUE, IF(Y146:CG146="X", $Y$2:$CG$2, ""))</f>
        <v/>
      </c>
      <c r="W146" s="2" t="str" cm="1">
        <f t="array" ref="W146">_xlfn.TEXTJOIN(", ", TRUE, IF(CH146:CS146="X", $CH$3:$CS$3, ""))</f>
        <v/>
      </c>
      <c r="X146" s="2" t="str" cm="1">
        <f t="array" ref="X146">_xlfn.TEXTJOIN(", ", TRUE, IF(CT146:CX146="X", $CT$3:$CX$3, ""))</f>
        <v/>
      </c>
    </row>
    <row r="147" spans="1:102" ht="18.75" customHeight="1" x14ac:dyDescent="0.25">
      <c r="A147" s="8">
        <v>48</v>
      </c>
      <c r="B147" s="2" t="s">
        <v>1017</v>
      </c>
      <c r="C147" s="2" t="s">
        <v>1018</v>
      </c>
      <c r="D147" s="29" t="s">
        <v>1019</v>
      </c>
      <c r="E147" s="29" t="s">
        <v>1020</v>
      </c>
      <c r="F147" s="18"/>
      <c r="G147" s="8">
        <f ca="1">DATEDIF(F147, TODAY(), "Y")</f>
        <v>126</v>
      </c>
      <c r="H147" s="2" t="s">
        <v>457</v>
      </c>
      <c r="I147" s="2" t="s">
        <v>1021</v>
      </c>
      <c r="J147" s="29"/>
      <c r="L147" s="1"/>
      <c r="M147" s="30"/>
      <c r="N147" s="31"/>
      <c r="O147" s="31"/>
      <c r="P147" s="2" t="s">
        <v>1022</v>
      </c>
      <c r="Q147" s="2"/>
      <c r="R147" s="49"/>
      <c r="S147" s="49"/>
      <c r="T147" s="49"/>
      <c r="U147" s="2" t="str" cm="1">
        <f t="array" ref="U147">_xlfn.TEXTJOIN(", ", TRUE, IF(Y147:CG147="X", $Y$3:$CG$3, ""))</f>
        <v/>
      </c>
      <c r="V147" s="18" t="str" cm="1">
        <f t="array" ref="V147">_xlfn.TEXTJOIN(", ", TRUE, IF(Y147:CG147="X", $Y$2:$CG$2, ""))</f>
        <v/>
      </c>
      <c r="W147" s="2" t="str" cm="1">
        <f t="array" ref="W147">_xlfn.TEXTJOIN(", ", TRUE, IF(CH147:CS147="X", $CH$3:$CS$3, ""))</f>
        <v/>
      </c>
      <c r="X147" s="2" t="str" cm="1">
        <f t="array" ref="X147">_xlfn.TEXTJOIN(", ", TRUE, IF(CT147:CX147="X", $CT$3:$CX$3, ""))</f>
        <v/>
      </c>
    </row>
    <row r="148" spans="1:102" ht="18.75" customHeight="1" x14ac:dyDescent="0.25">
      <c r="A148" s="8">
        <v>49</v>
      </c>
      <c r="B148" s="2" t="s">
        <v>1023</v>
      </c>
      <c r="C148" s="2" t="s">
        <v>1024</v>
      </c>
      <c r="D148" s="29" t="s">
        <v>1025</v>
      </c>
      <c r="E148" s="29" t="s">
        <v>1026</v>
      </c>
      <c r="F148" s="18">
        <v>26898</v>
      </c>
      <c r="G148" s="8">
        <f ca="1">DATEDIF(F148, TODAY(), "Y")</f>
        <v>52</v>
      </c>
      <c r="H148" s="2" t="s">
        <v>457</v>
      </c>
      <c r="I148" s="2" t="s">
        <v>1027</v>
      </c>
      <c r="J148" s="29"/>
      <c r="L148" s="1">
        <v>687198278</v>
      </c>
      <c r="M148" s="30"/>
      <c r="N148" s="31"/>
      <c r="O148" s="31"/>
      <c r="P148" s="2" t="s">
        <v>1028</v>
      </c>
      <c r="Q148" s="2"/>
      <c r="R148" s="18"/>
      <c r="S148" s="18"/>
      <c r="T148" s="18"/>
      <c r="U148" s="2" t="str" cm="1">
        <f t="array" ref="U148">_xlfn.TEXTJOIN(", ", TRUE, IF(Y148:CG148="X", $Y$3:$CG$3, ""))</f>
        <v/>
      </c>
      <c r="V148" s="18" t="str" cm="1">
        <f t="array" ref="V148">_xlfn.TEXTJOIN(", ", TRUE, IF(Y148:CG148="X", $Y$2:$CG$2, ""))</f>
        <v/>
      </c>
      <c r="W148" s="2" t="str" cm="1">
        <f t="array" ref="W148">_xlfn.TEXTJOIN(", ", TRUE, IF(CH148:CS148="X", $CH$3:$CS$3, ""))</f>
        <v/>
      </c>
      <c r="X148" s="2" t="str" cm="1">
        <f t="array" ref="X148">_xlfn.TEXTJOIN(", ", TRUE, IF(CT148:CX148="X", $CT$3:$CX$3, ""))</f>
        <v/>
      </c>
    </row>
    <row r="149" spans="1:102" ht="18.75" customHeight="1" x14ac:dyDescent="0.25">
      <c r="A149" s="8">
        <v>50</v>
      </c>
      <c r="B149" s="2" t="s">
        <v>1029</v>
      </c>
      <c r="C149" s="2" t="s">
        <v>1030</v>
      </c>
      <c r="D149" s="29" t="s">
        <v>1031</v>
      </c>
      <c r="E149" s="29" t="s">
        <v>1032</v>
      </c>
      <c r="F149" s="18"/>
      <c r="G149" s="8">
        <f ca="1">DATEDIF(F149, TODAY(), "Y")</f>
        <v>126</v>
      </c>
      <c r="H149" s="2" t="s">
        <v>457</v>
      </c>
      <c r="I149" s="2" t="s">
        <v>1033</v>
      </c>
      <c r="J149" s="29"/>
      <c r="L149" s="1">
        <v>620075188</v>
      </c>
      <c r="M149" s="30"/>
      <c r="N149" s="31"/>
      <c r="O149" s="31"/>
      <c r="P149" s="2" t="s">
        <v>1034</v>
      </c>
      <c r="Q149" s="2"/>
      <c r="R149" s="49"/>
      <c r="S149" s="49"/>
      <c r="T149" s="49"/>
      <c r="U149" s="2" t="str" cm="1">
        <f t="array" ref="U149">_xlfn.TEXTJOIN(", ", TRUE, IF(Y149:CG149="X", $Y$3:$CG$3, ""))</f>
        <v/>
      </c>
      <c r="V149" s="18" t="str" cm="1">
        <f t="array" ref="V149">_xlfn.TEXTJOIN(", ", TRUE, IF(Y149:CG149="X", $Y$2:$CG$2, ""))</f>
        <v/>
      </c>
      <c r="W149" s="2" t="str" cm="1">
        <f t="array" ref="W149">_xlfn.TEXTJOIN(", ", TRUE, IF(CH149:CS149="X", $CH$3:$CS$3, ""))</f>
        <v/>
      </c>
      <c r="X149" s="2" t="str" cm="1">
        <f t="array" ref="X149">_xlfn.TEXTJOIN(", ", TRUE, IF(CT149:CX149="X", $CT$3:$CX$3, ""))</f>
        <v/>
      </c>
    </row>
    <row r="150" spans="1:102" ht="18.75" customHeight="1" x14ac:dyDescent="0.25">
      <c r="A150" s="8">
        <v>51</v>
      </c>
      <c r="B150" s="2" t="s">
        <v>1035</v>
      </c>
      <c r="C150" s="2" t="s">
        <v>1036</v>
      </c>
      <c r="D150" s="29" t="s">
        <v>1037</v>
      </c>
      <c r="E150" s="29" t="s">
        <v>1038</v>
      </c>
      <c r="F150" s="18">
        <v>19333</v>
      </c>
      <c r="G150" s="8">
        <f ca="1">DATEDIF(F150, TODAY(), "Y")</f>
        <v>73</v>
      </c>
      <c r="H150" s="2" t="s">
        <v>457</v>
      </c>
      <c r="I150" s="2" t="s">
        <v>1039</v>
      </c>
      <c r="J150" s="29"/>
      <c r="L150" s="1"/>
      <c r="M150" s="30"/>
      <c r="N150" s="31"/>
      <c r="O150" s="31"/>
      <c r="P150" s="49"/>
      <c r="Q150" s="49"/>
      <c r="R150" s="18"/>
      <c r="S150" s="18"/>
      <c r="T150" s="18"/>
      <c r="U150" s="2" t="str" cm="1">
        <f t="array" ref="U150">_xlfn.TEXTJOIN(", ", TRUE, IF(Y150:CG150="X", $Y$3:$CG$3, ""))</f>
        <v/>
      </c>
      <c r="V150" s="18" t="str" cm="1">
        <f t="array" ref="V150">_xlfn.TEXTJOIN(", ", TRUE, IF(Y150:CG150="X", $Y$2:$CG$2, ""))</f>
        <v/>
      </c>
      <c r="W150" s="2" t="str" cm="1">
        <f t="array" ref="W150">_xlfn.TEXTJOIN(", ", TRUE, IF(CH150:CS150="X", $CH$3:$CS$3, ""))</f>
        <v/>
      </c>
      <c r="X150" s="2" t="str" cm="1">
        <f t="array" ref="X150">_xlfn.TEXTJOIN(", ", TRUE, IF(CT150:CX150="X", $CT$3:$CX$3, ""))</f>
        <v/>
      </c>
      <c r="AS150" s="49"/>
    </row>
    <row r="151" spans="1:102" ht="18.75" customHeight="1" x14ac:dyDescent="0.25">
      <c r="A151" s="8">
        <v>52</v>
      </c>
      <c r="B151" s="2" t="s">
        <v>1040</v>
      </c>
      <c r="C151" s="2" t="s">
        <v>1041</v>
      </c>
      <c r="D151" s="29" t="s">
        <v>1042</v>
      </c>
      <c r="E151" s="29" t="s">
        <v>1043</v>
      </c>
      <c r="F151" s="18"/>
      <c r="G151" s="8">
        <f ca="1">DATEDIF(F151, TODAY(), "Y")</f>
        <v>126</v>
      </c>
      <c r="H151" s="2" t="s">
        <v>457</v>
      </c>
      <c r="I151" s="2" t="s">
        <v>1044</v>
      </c>
      <c r="J151" s="29"/>
      <c r="L151" s="1">
        <v>943675604</v>
      </c>
      <c r="M151" s="30"/>
      <c r="N151" s="31"/>
      <c r="O151" s="31"/>
      <c r="P151" s="49" t="s">
        <v>3053</v>
      </c>
      <c r="Q151" s="49"/>
      <c r="R151" s="18"/>
      <c r="S151" s="18"/>
      <c r="T151" s="18"/>
      <c r="U151" s="2" t="str" cm="1">
        <f t="array" ref="U151">_xlfn.TEXTJOIN(", ", TRUE, IF(Y151:CG151="X", $Y$3:$CG$3, ""))</f>
        <v>Ardi haragia</v>
      </c>
      <c r="V151" s="18" t="str" cm="1">
        <f t="array" ref="V151">_xlfn.TEXTJOIN(", ", TRUE, IF(Y151:CG151="X", $Y$2:$CG$2, ""))</f>
        <v>HARAGIA</v>
      </c>
      <c r="W151" s="2" t="str" cm="1">
        <f t="array" ref="W151">_xlfn.TEXTJOIN(", ", TRUE, IF(CH151:CS151="X", $CH$3:$CS$3, ""))</f>
        <v/>
      </c>
      <c r="X151" s="2" t="str" cm="1">
        <f t="array" ref="X151">_xlfn.TEXTJOIN(", ", TRUE, IF(CT151:CX151="X", $CT$3:$CX$3, ""))</f>
        <v/>
      </c>
      <c r="AK151" s="3" t="s">
        <v>764</v>
      </c>
      <c r="AS151" s="82"/>
    </row>
    <row r="152" spans="1:102" ht="18.75" customHeight="1" x14ac:dyDescent="0.25">
      <c r="A152" s="8">
        <v>53</v>
      </c>
      <c r="B152" s="2" t="s">
        <v>1045</v>
      </c>
      <c r="C152" s="2" t="s">
        <v>1046</v>
      </c>
      <c r="D152" s="29" t="s">
        <v>1047</v>
      </c>
      <c r="E152" s="29" t="s">
        <v>1048</v>
      </c>
      <c r="F152" s="18">
        <v>21193</v>
      </c>
      <c r="G152" s="8">
        <f ca="1">DATEDIF(F152, TODAY(), "Y")</f>
        <v>68</v>
      </c>
      <c r="H152" s="2" t="s">
        <v>457</v>
      </c>
      <c r="I152" s="2" t="s">
        <v>1049</v>
      </c>
      <c r="J152" s="29"/>
      <c r="L152" s="1"/>
      <c r="M152" s="30"/>
      <c r="N152" s="31"/>
      <c r="O152" s="35"/>
      <c r="P152" s="82"/>
      <c r="Q152" s="82"/>
      <c r="R152" s="18"/>
      <c r="S152" s="18"/>
      <c r="T152" s="18"/>
      <c r="U152" s="2" t="str" cm="1">
        <f t="array" ref="U152">_xlfn.TEXTJOIN(", ", TRUE, IF(Y152:CG152="X", $Y$3:$CG$3, ""))</f>
        <v/>
      </c>
      <c r="V152" s="18" t="str" cm="1">
        <f t="array" ref="V152">_xlfn.TEXTJOIN(", ", TRUE, IF(Y152:CG152="X", $Y$2:$CG$2, ""))</f>
        <v/>
      </c>
      <c r="W152" s="2" t="str" cm="1">
        <f t="array" ref="W152">_xlfn.TEXTJOIN(", ", TRUE, IF(CH152:CS152="X", $CH$3:$CS$3, ""))</f>
        <v/>
      </c>
      <c r="X152" s="2" t="str" cm="1">
        <f t="array" ref="X152">_xlfn.TEXTJOIN(", ", TRUE, IF(CT152:CX152="X", $CT$3:$CX$3, ""))</f>
        <v/>
      </c>
    </row>
    <row r="153" spans="1:102" ht="18.75" customHeight="1" x14ac:dyDescent="0.25">
      <c r="A153" s="8">
        <v>55</v>
      </c>
      <c r="B153" s="2" t="s">
        <v>1050</v>
      </c>
      <c r="C153" s="2" t="s">
        <v>1051</v>
      </c>
      <c r="D153" s="29" t="s">
        <v>1052</v>
      </c>
      <c r="E153" s="29" t="s">
        <v>1053</v>
      </c>
      <c r="F153" s="18">
        <v>17762</v>
      </c>
      <c r="G153" s="8">
        <f ca="1">DATEDIF(F153, TODAY(), "Y")</f>
        <v>77</v>
      </c>
      <c r="H153" s="2" t="s">
        <v>457</v>
      </c>
      <c r="I153" s="2" t="s">
        <v>1054</v>
      </c>
      <c r="J153" s="29"/>
      <c r="L153" s="1">
        <v>616093969</v>
      </c>
      <c r="M153" s="30"/>
      <c r="N153" s="31"/>
      <c r="O153" s="31"/>
      <c r="P153" s="2" t="s">
        <v>1055</v>
      </c>
      <c r="Q153" s="2"/>
      <c r="R153" s="18"/>
      <c r="S153" s="18"/>
      <c r="T153" s="18"/>
      <c r="U153" s="2" t="str" cm="1">
        <f t="array" ref="U153">_xlfn.TEXTJOIN(", ", TRUE, IF(Y153:CG153="X", $Y$3:$CG$3, ""))</f>
        <v>Arrautzak, Barazkiak aire librean, Babarrunak, Fruta</v>
      </c>
      <c r="V153" s="18" t="str" cm="1">
        <f t="array" ref="V153">_xlfn.TEXTJOIN(", ", TRUE, IF(Y153:CG153="X", $Y$2:$CG$2, ""))</f>
        <v>OILOAK, BARAZKIAK, LEKALEAK, FRUTA</v>
      </c>
      <c r="W153" s="2" t="str" cm="1">
        <f t="array" ref="W153">_xlfn.TEXTJOIN(", ", TRUE, IF(CH153:CS153="X", $CH$3:$CS$3, ""))</f>
        <v/>
      </c>
      <c r="X153" s="2" t="str" cm="1">
        <f t="array" ref="X153">_xlfn.TEXTJOIN(", ", TRUE, IF(CT153:CX153="X", $CT$3:$CX$3, ""))</f>
        <v/>
      </c>
      <c r="AR153" s="3" t="s">
        <v>764</v>
      </c>
      <c r="AS153" s="3" t="s">
        <v>764</v>
      </c>
      <c r="AZ153" s="3" t="s">
        <v>764</v>
      </c>
      <c r="BD153" s="3" t="s">
        <v>764</v>
      </c>
    </row>
    <row r="154" spans="1:102" ht="18.75" customHeight="1" x14ac:dyDescent="0.25">
      <c r="A154" s="8">
        <v>56</v>
      </c>
      <c r="B154" s="2" t="s">
        <v>1056</v>
      </c>
      <c r="C154" s="2" t="s">
        <v>1057</v>
      </c>
      <c r="D154" s="29" t="s">
        <v>1058</v>
      </c>
      <c r="E154" s="29" t="s">
        <v>1059</v>
      </c>
      <c r="F154" s="18">
        <v>12359</v>
      </c>
      <c r="G154" s="8">
        <f ca="1">DATEDIF(F154, TODAY(), "Y")</f>
        <v>92</v>
      </c>
      <c r="H154" s="2" t="s">
        <v>457</v>
      </c>
      <c r="I154" s="2" t="s">
        <v>1060</v>
      </c>
      <c r="J154" s="29"/>
      <c r="L154" s="1"/>
      <c r="M154" s="30"/>
      <c r="N154" s="31"/>
      <c r="O154" s="31"/>
      <c r="P154" s="49"/>
      <c r="Q154" s="38"/>
      <c r="R154" s="67"/>
      <c r="S154" s="67"/>
      <c r="T154" s="67"/>
      <c r="U154" s="2" t="str" cm="1">
        <f t="array" ref="U154">_xlfn.TEXTJOIN(", ", TRUE, IF(Y154:CG154="X", $Y$3:$CG$3, ""))</f>
        <v/>
      </c>
      <c r="V154" s="18" t="str" cm="1">
        <f t="array" ref="V154">_xlfn.TEXTJOIN(", ", TRUE, IF(Y154:CG154="X", $Y$2:$CG$2, ""))</f>
        <v/>
      </c>
      <c r="W154" s="2" t="str" cm="1">
        <f t="array" ref="W154">_xlfn.TEXTJOIN(", ", TRUE, IF(CH154:CS154="X", $CH$3:$CS$3, ""))</f>
        <v/>
      </c>
      <c r="X154" s="2" t="str" cm="1">
        <f t="array" ref="X154">_xlfn.TEXTJOIN(", ", TRUE, IF(CT154:CX154="X", $CT$3:$CX$3, ""))</f>
        <v/>
      </c>
      <c r="AC154" s="49"/>
      <c r="CW154" s="49"/>
      <c r="CX154" s="49"/>
    </row>
    <row r="155" spans="1:102" ht="18.75" customHeight="1" x14ac:dyDescent="0.25">
      <c r="A155" s="8">
        <v>57</v>
      </c>
      <c r="B155" s="2" t="s">
        <v>1061</v>
      </c>
      <c r="C155" s="2" t="s">
        <v>1062</v>
      </c>
      <c r="D155" s="29" t="s">
        <v>1063</v>
      </c>
      <c r="E155" s="29" t="s">
        <v>1064</v>
      </c>
      <c r="F155" s="18">
        <v>20985</v>
      </c>
      <c r="G155" s="8">
        <f ca="1">DATEDIF(F155, TODAY(), "Y")</f>
        <v>69</v>
      </c>
      <c r="H155" s="2" t="s">
        <v>457</v>
      </c>
      <c r="I155" s="2" t="s">
        <v>1065</v>
      </c>
      <c r="J155" s="29"/>
      <c r="L155" s="1">
        <v>943653272</v>
      </c>
      <c r="M155" s="30"/>
      <c r="N155" s="31"/>
      <c r="O155" s="31"/>
      <c r="P155" s="49" t="s">
        <v>3045</v>
      </c>
      <c r="Q155" s="49"/>
      <c r="R155" s="18"/>
      <c r="S155" s="18"/>
      <c r="T155" s="18"/>
      <c r="U155" s="2" t="str" cm="1">
        <f t="array" ref="U155">_xlfn.TEXTJOIN(", ", TRUE, IF(Y155:CG155="X", $Y$3:$CG$3, ""))</f>
        <v>Barazkiak aire librean, Babarrunak, Fruta</v>
      </c>
      <c r="V155" s="18" t="str" cm="1">
        <f t="array" ref="V155">_xlfn.TEXTJOIN(", ", TRUE, IF(Y155:CG155="X", $Y$2:$CG$2, ""))</f>
        <v>BARAZKIAK, LEKALEAK, FRUTA</v>
      </c>
      <c r="W155" s="2" t="str" cm="1">
        <f t="array" ref="W155">_xlfn.TEXTJOIN(", ", TRUE, IF(CH155:CS155="X", $CH$3:$CS$3, ""))</f>
        <v/>
      </c>
      <c r="X155" s="2" t="str" cm="1">
        <f t="array" ref="X155">_xlfn.TEXTJOIN(", ", TRUE, IF(CT155:CX155="X", $CT$3:$CX$3, ""))</f>
        <v/>
      </c>
      <c r="AC155" s="82"/>
      <c r="AS155" s="3" t="s">
        <v>764</v>
      </c>
      <c r="AZ155" s="3" t="s">
        <v>764</v>
      </c>
      <c r="BD155" s="3" t="s">
        <v>764</v>
      </c>
      <c r="CW155" s="82"/>
      <c r="CX155" s="82"/>
    </row>
    <row r="156" spans="1:102" ht="18.75" customHeight="1" x14ac:dyDescent="0.25">
      <c r="A156" s="8">
        <v>58</v>
      </c>
      <c r="B156" s="2" t="s">
        <v>1066</v>
      </c>
      <c r="C156" s="2" t="s">
        <v>1067</v>
      </c>
      <c r="D156" s="29" t="s">
        <v>1068</v>
      </c>
      <c r="E156" s="29" t="s">
        <v>1069</v>
      </c>
      <c r="F156" s="18">
        <v>14113</v>
      </c>
      <c r="G156" s="8">
        <f ca="1">DATEDIF(F156, TODAY(), "Y")</f>
        <v>87</v>
      </c>
      <c r="H156" s="2" t="s">
        <v>457</v>
      </c>
      <c r="I156" s="2" t="s">
        <v>1070</v>
      </c>
      <c r="J156" s="29"/>
      <c r="L156" s="1"/>
      <c r="M156" s="30"/>
      <c r="N156" s="31"/>
      <c r="O156" s="31"/>
      <c r="P156" s="49"/>
      <c r="Q156" s="49"/>
      <c r="R156" s="18"/>
      <c r="S156" s="18"/>
      <c r="T156" s="18"/>
      <c r="U156" s="2" t="str" cm="1">
        <f t="array" ref="U156">_xlfn.TEXTJOIN(", ", TRUE, IF(Y156:CG156="X", $Y$3:$CG$3, ""))</f>
        <v/>
      </c>
      <c r="V156" s="18" t="str" cm="1">
        <f t="array" ref="V156">_xlfn.TEXTJOIN(", ", TRUE, IF(Y156:CG156="X", $Y$2:$CG$2, ""))</f>
        <v/>
      </c>
      <c r="W156" s="2" t="str" cm="1">
        <f t="array" ref="W156">_xlfn.TEXTJOIN(", ", TRUE, IF(CH156:CS156="X", $CH$3:$CS$3, ""))</f>
        <v/>
      </c>
      <c r="X156" s="2" t="str" cm="1">
        <f t="array" ref="X156">_xlfn.TEXTJOIN(", ", TRUE, IF(CT156:CX156="X", $CT$3:$CX$3, ""))</f>
        <v/>
      </c>
    </row>
    <row r="157" spans="1:102" ht="18.75" customHeight="1" x14ac:dyDescent="0.25">
      <c r="A157" s="8">
        <v>60</v>
      </c>
      <c r="B157" s="2" t="s">
        <v>1077</v>
      </c>
      <c r="C157" s="2" t="s">
        <v>1078</v>
      </c>
      <c r="D157" s="29" t="s">
        <v>1079</v>
      </c>
      <c r="E157" s="29" t="s">
        <v>1080</v>
      </c>
      <c r="F157" s="18">
        <v>10953</v>
      </c>
      <c r="G157" s="8">
        <f ca="1">DATEDIF(F157, TODAY(), "Y")</f>
        <v>96</v>
      </c>
      <c r="H157" s="2" t="s">
        <v>457</v>
      </c>
      <c r="I157" s="2" t="s">
        <v>1081</v>
      </c>
      <c r="J157" s="29"/>
      <c r="L157" s="1"/>
      <c r="M157" s="30"/>
      <c r="N157" s="31"/>
      <c r="O157" s="35"/>
      <c r="P157" s="82"/>
      <c r="Q157" s="82"/>
      <c r="R157" s="18"/>
      <c r="S157" s="18"/>
      <c r="T157" s="18"/>
      <c r="U157" s="2" t="str" cm="1">
        <f t="array" ref="U157">_xlfn.TEXTJOIN(", ", TRUE, IF(Y157:CG157="X", $Y$3:$CG$3, ""))</f>
        <v/>
      </c>
      <c r="V157" s="18" t="str" cm="1">
        <f t="array" ref="V157">_xlfn.TEXTJOIN(", ", TRUE, IF(Y157:CG157="X", $Y$2:$CG$2, ""))</f>
        <v/>
      </c>
      <c r="W157" s="2" t="str" cm="1">
        <f t="array" ref="W157">_xlfn.TEXTJOIN(", ", TRUE, IF(CH157:CS157="X", $CH$3:$CS$3, ""))</f>
        <v/>
      </c>
      <c r="X157" s="2" t="str" cm="1">
        <f t="array" ref="X157">_xlfn.TEXTJOIN(", ", TRUE, IF(CT157:CX157="X", $CT$3:$CX$3, ""))</f>
        <v/>
      </c>
    </row>
    <row r="158" spans="1:102" ht="18.75" customHeight="1" x14ac:dyDescent="0.25">
      <c r="A158" s="8">
        <v>61</v>
      </c>
      <c r="B158" s="2" t="s">
        <v>1082</v>
      </c>
      <c r="C158" s="2" t="s">
        <v>1083</v>
      </c>
      <c r="D158" s="29" t="s">
        <v>1084</v>
      </c>
      <c r="E158" s="29" t="s">
        <v>1085</v>
      </c>
      <c r="F158" s="18">
        <v>18788</v>
      </c>
      <c r="G158" s="8">
        <f ca="1">DATEDIF(F158, TODAY(), "Y")</f>
        <v>75</v>
      </c>
      <c r="H158" s="2" t="s">
        <v>457</v>
      </c>
      <c r="I158" s="2" t="s">
        <v>1086</v>
      </c>
      <c r="J158" s="29"/>
      <c r="L158" s="1"/>
      <c r="M158" s="30"/>
      <c r="N158" s="31"/>
      <c r="O158" s="31"/>
      <c r="P158" s="49"/>
      <c r="Q158" s="49"/>
      <c r="R158" s="18"/>
      <c r="S158" s="18"/>
      <c r="T158" s="18"/>
      <c r="U158" s="2" t="str" cm="1">
        <f t="array" ref="U158">_xlfn.TEXTJOIN(", ", TRUE, IF(Y158:CG158="X", $Y$3:$CG$3, ""))</f>
        <v/>
      </c>
      <c r="V158" s="18" t="str" cm="1">
        <f t="array" ref="V158">_xlfn.TEXTJOIN(", ", TRUE, IF(Y158:CG158="X", $Y$2:$CG$2, ""))</f>
        <v/>
      </c>
      <c r="W158" s="2" t="str" cm="1">
        <f t="array" ref="W158">_xlfn.TEXTJOIN(", ", TRUE, IF(CH158:CS158="X", $CH$3:$CS$3, ""))</f>
        <v/>
      </c>
      <c r="X158" s="2" t="str" cm="1">
        <f t="array" ref="X158">_xlfn.TEXTJOIN(", ", TRUE, IF(CT158:CX158="X", $CT$3:$CX$3, ""))</f>
        <v/>
      </c>
      <c r="AC158" s="49"/>
      <c r="CW158" s="49"/>
      <c r="CX158" s="49"/>
    </row>
    <row r="159" spans="1:102" ht="18.75" customHeight="1" x14ac:dyDescent="0.25">
      <c r="A159" s="8">
        <v>62</v>
      </c>
      <c r="B159" s="2" t="s">
        <v>1087</v>
      </c>
      <c r="C159" s="2" t="s">
        <v>1088</v>
      </c>
      <c r="D159" s="29" t="s">
        <v>1089</v>
      </c>
      <c r="E159" s="29" t="s">
        <v>1090</v>
      </c>
      <c r="F159" s="18">
        <v>10993</v>
      </c>
      <c r="G159" s="8">
        <f ca="1">DATEDIF(F159, TODAY(), "Y")</f>
        <v>96</v>
      </c>
      <c r="H159" s="2" t="s">
        <v>457</v>
      </c>
      <c r="I159" s="2" t="s">
        <v>1091</v>
      </c>
      <c r="J159" s="2"/>
      <c r="K159" s="49"/>
      <c r="L159" s="1"/>
      <c r="M159" s="30"/>
      <c r="N159" s="31"/>
      <c r="O159" s="31"/>
      <c r="P159" s="49"/>
      <c r="Q159" s="49"/>
      <c r="R159" s="18"/>
      <c r="S159" s="18"/>
      <c r="T159" s="18"/>
      <c r="U159" s="2" t="str" cm="1">
        <f t="array" ref="U159">_xlfn.TEXTJOIN(", ", TRUE, IF(Y159:CG159="X", $Y$3:$CG$3, ""))</f>
        <v/>
      </c>
      <c r="V159" s="18" t="str" cm="1">
        <f t="array" ref="V159">_xlfn.TEXTJOIN(", ", TRUE, IF(Y159:CG159="X", $Y$2:$CG$2, ""))</f>
        <v/>
      </c>
      <c r="W159" s="2" t="str" cm="1">
        <f t="array" ref="W159">_xlfn.TEXTJOIN(", ", TRUE, IF(CH159:CS159="X", $CH$3:$CS$3, ""))</f>
        <v/>
      </c>
      <c r="X159" s="2" t="str" cm="1">
        <f t="array" ref="X159">_xlfn.TEXTJOIN(", ", TRUE, IF(CT159:CX159="X", $CT$3:$CX$3, ""))</f>
        <v/>
      </c>
      <c r="AC159" s="82"/>
      <c r="CW159" s="82"/>
      <c r="CX159" s="82"/>
    </row>
    <row r="160" spans="1:102" ht="18.75" customHeight="1" x14ac:dyDescent="0.25">
      <c r="A160" s="8">
        <v>63</v>
      </c>
      <c r="B160" s="2" t="s">
        <v>1092</v>
      </c>
      <c r="C160" s="2" t="s">
        <v>1093</v>
      </c>
      <c r="D160" s="29" t="s">
        <v>1094</v>
      </c>
      <c r="E160" s="29" t="s">
        <v>1095</v>
      </c>
      <c r="F160" s="18">
        <v>13550</v>
      </c>
      <c r="G160" s="8">
        <f ca="1">DATEDIF(F160, TODAY(), "Y")</f>
        <v>89</v>
      </c>
      <c r="H160" s="2" t="s">
        <v>457</v>
      </c>
      <c r="I160" s="2" t="s">
        <v>1096</v>
      </c>
      <c r="J160" s="2"/>
      <c r="K160" s="49"/>
      <c r="L160" s="1">
        <v>619546444</v>
      </c>
      <c r="M160" s="30"/>
      <c r="N160" s="77"/>
      <c r="O160" s="77"/>
      <c r="P160" s="2" t="s">
        <v>1097</v>
      </c>
      <c r="Q160" s="2"/>
      <c r="R160" s="18"/>
      <c r="S160" s="18"/>
      <c r="T160" s="18"/>
      <c r="U160" s="2" t="str" cm="1">
        <f t="array" ref="U160">_xlfn.TEXTJOIN(", ", TRUE, IF(Y160:CG160="X", $Y$3:$CG$3, ""))</f>
        <v/>
      </c>
      <c r="V160" s="18" t="str" cm="1">
        <f t="array" ref="V160">_xlfn.TEXTJOIN(", ", TRUE, IF(Y160:CG160="X", $Y$2:$CG$2, ""))</f>
        <v/>
      </c>
      <c r="W160" s="2" t="str" cm="1">
        <f t="array" ref="W160">_xlfn.TEXTJOIN(", ", TRUE, IF(CH160:CS160="X", $CH$3:$CS$3, ""))</f>
        <v/>
      </c>
      <c r="X160" s="2" t="str" cm="1">
        <f t="array" ref="X160">_xlfn.TEXTJOIN(", ", TRUE, IF(CT160:CX160="X", $CT$3:$CX$3, ""))</f>
        <v/>
      </c>
      <c r="CN160" s="49"/>
    </row>
    <row r="161" spans="1:102" ht="18.75" customHeight="1" x14ac:dyDescent="0.25">
      <c r="A161" s="8">
        <v>64</v>
      </c>
      <c r="B161" s="2" t="s">
        <v>1098</v>
      </c>
      <c r="C161" s="2" t="s">
        <v>1099</v>
      </c>
      <c r="D161" s="29" t="s">
        <v>1100</v>
      </c>
      <c r="E161" s="29" t="s">
        <v>1101</v>
      </c>
      <c r="F161" s="18">
        <v>17620</v>
      </c>
      <c r="G161" s="8">
        <f ca="1">DATEDIF(F161, TODAY(), "Y")</f>
        <v>78</v>
      </c>
      <c r="H161" s="2" t="s">
        <v>457</v>
      </c>
      <c r="I161" s="2" t="s">
        <v>1102</v>
      </c>
      <c r="J161" s="29"/>
      <c r="K161" s="82"/>
      <c r="L161" s="1"/>
      <c r="M161" s="30"/>
      <c r="N161" s="31"/>
      <c r="O161" s="35"/>
      <c r="P161" s="82"/>
      <c r="Q161" s="82"/>
      <c r="R161" s="18"/>
      <c r="S161" s="18"/>
      <c r="T161" s="18"/>
      <c r="U161" s="2" t="str" cm="1">
        <f t="array" ref="U161">_xlfn.TEXTJOIN(", ", TRUE, IF(Y161:CG161="X", $Y$3:$CG$3, ""))</f>
        <v/>
      </c>
      <c r="V161" s="18" t="str" cm="1">
        <f t="array" ref="V161">_xlfn.TEXTJOIN(", ", TRUE, IF(Y161:CG161="X", $Y$2:$CG$2, ""))</f>
        <v/>
      </c>
      <c r="W161" s="2" t="str" cm="1">
        <f t="array" ref="W161">_xlfn.TEXTJOIN(", ", TRUE, IF(CH161:CS161="X", $CH$3:$CS$3, ""))</f>
        <v/>
      </c>
      <c r="X161" s="2" t="str" cm="1">
        <f t="array" ref="X161">_xlfn.TEXTJOIN(", ", TRUE, IF(CT161:CX161="X", $CT$3:$CX$3, ""))</f>
        <v/>
      </c>
      <c r="AZ161" s="49"/>
      <c r="CN161" s="82"/>
    </row>
    <row r="162" spans="1:102" ht="18.75" customHeight="1" x14ac:dyDescent="0.25">
      <c r="A162" s="8">
        <v>65</v>
      </c>
      <c r="B162" s="2" t="s">
        <v>1103</v>
      </c>
      <c r="C162" s="2" t="s">
        <v>1104</v>
      </c>
      <c r="D162" s="29" t="s">
        <v>1105</v>
      </c>
      <c r="E162" s="29" t="s">
        <v>1106</v>
      </c>
      <c r="F162" s="18">
        <v>27553</v>
      </c>
      <c r="G162" s="8">
        <f ca="1">DATEDIF(F162, TODAY(), "Y")</f>
        <v>51</v>
      </c>
      <c r="H162" s="2" t="s">
        <v>457</v>
      </c>
      <c r="I162" s="2" t="s">
        <v>1107</v>
      </c>
      <c r="J162" s="29"/>
      <c r="L162" s="1"/>
      <c r="M162" s="30"/>
      <c r="N162" s="31"/>
      <c r="O162" s="31"/>
      <c r="P162" s="49"/>
      <c r="Q162" s="49"/>
      <c r="R162" s="18"/>
      <c r="S162" s="18"/>
      <c r="T162" s="18"/>
      <c r="U162" s="2" t="str" cm="1">
        <f t="array" ref="U162">_xlfn.TEXTJOIN(", ", TRUE, IF(Y162:CG162="X", $Y$3:$CG$3, ""))</f>
        <v/>
      </c>
      <c r="V162" s="18" t="str" cm="1">
        <f t="array" ref="V162">_xlfn.TEXTJOIN(", ", TRUE, IF(Y162:CG162="X", $Y$2:$CG$2, ""))</f>
        <v/>
      </c>
      <c r="W162" s="2" t="str" cm="1">
        <f t="array" ref="W162">_xlfn.TEXTJOIN(", ", TRUE, IF(CH162:CS162="X", $CH$3:$CS$3, ""))</f>
        <v/>
      </c>
      <c r="X162" s="2" t="str" cm="1">
        <f t="array" ref="X162">_xlfn.TEXTJOIN(", ", TRUE, IF(CT162:CX162="X", $CT$3:$CX$3, ""))</f>
        <v/>
      </c>
      <c r="AZ162" s="82"/>
    </row>
    <row r="163" spans="1:102" ht="18.75" customHeight="1" x14ac:dyDescent="0.25">
      <c r="A163" s="8">
        <v>66</v>
      </c>
      <c r="B163" s="2" t="s">
        <v>1108</v>
      </c>
      <c r="C163" s="2" t="s">
        <v>1109</v>
      </c>
      <c r="D163" s="29" t="s">
        <v>1110</v>
      </c>
      <c r="E163" s="29" t="s">
        <v>1111</v>
      </c>
      <c r="F163" s="18">
        <v>22606</v>
      </c>
      <c r="G163" s="8">
        <f ca="1">DATEDIF(F163, TODAY(), "Y")</f>
        <v>64</v>
      </c>
      <c r="H163" s="2" t="s">
        <v>457</v>
      </c>
      <c r="I163" s="2" t="s">
        <v>1112</v>
      </c>
      <c r="J163" s="29"/>
      <c r="L163" s="1">
        <v>617224955</v>
      </c>
      <c r="M163" s="30"/>
      <c r="N163" s="31"/>
      <c r="O163" s="31"/>
      <c r="P163" s="2" t="s">
        <v>3052</v>
      </c>
      <c r="Q163" s="2"/>
      <c r="R163" s="18"/>
      <c r="S163" s="18"/>
      <c r="T163" s="18"/>
      <c r="U163" s="2" t="str" cm="1">
        <f t="array" ref="U163">_xlfn.TEXTJOIN(", ", TRUE, IF(Y163:CG163="X", $Y$3:$CG$3, ""))</f>
        <v/>
      </c>
      <c r="V163" s="18" t="str" cm="1">
        <f t="array" ref="V163">_xlfn.TEXTJOIN(", ", TRUE, IF(Y163:CG163="X", $Y$2:$CG$2, ""))</f>
        <v/>
      </c>
      <c r="W163" s="2" t="str" cm="1">
        <f t="array" ref="W163">_xlfn.TEXTJOIN(", ", TRUE, IF(CH163:CS163="X", $CH$3:$CS$3, ""))</f>
        <v/>
      </c>
      <c r="X163" s="2" t="str" cm="1">
        <f t="array" ref="X163">_xlfn.TEXTJOIN(", ", TRUE, IF(CT163:CX163="X", $CT$3:$CX$3, ""))</f>
        <v/>
      </c>
    </row>
    <row r="164" spans="1:102" ht="18.75" customHeight="1" x14ac:dyDescent="0.25">
      <c r="A164" s="8">
        <v>67</v>
      </c>
      <c r="B164" s="2" t="s">
        <v>1113</v>
      </c>
      <c r="C164" s="2" t="s">
        <v>1114</v>
      </c>
      <c r="D164" s="29" t="s">
        <v>1115</v>
      </c>
      <c r="E164" s="29" t="s">
        <v>1116</v>
      </c>
      <c r="F164" s="18">
        <v>12729</v>
      </c>
      <c r="G164" s="8">
        <f ca="1">DATEDIF(F164, TODAY(), "Y")</f>
        <v>91</v>
      </c>
      <c r="H164" s="2" t="s">
        <v>457</v>
      </c>
      <c r="I164" s="2" t="s">
        <v>1117</v>
      </c>
      <c r="J164" s="29"/>
      <c r="L164" s="1"/>
      <c r="M164" s="30"/>
      <c r="N164" s="31"/>
      <c r="O164" s="31"/>
      <c r="P164" s="49"/>
      <c r="Q164" s="49"/>
      <c r="R164" s="18"/>
      <c r="S164" s="18"/>
      <c r="T164" s="18"/>
      <c r="U164" s="2" t="str" cm="1">
        <f t="array" ref="U164">_xlfn.TEXTJOIN(", ", TRUE, IF(Y164:CG164="X", $Y$3:$CG$3, ""))</f>
        <v/>
      </c>
      <c r="V164" s="18" t="str" cm="1">
        <f t="array" ref="V164">_xlfn.TEXTJOIN(", ", TRUE, IF(Y164:CG164="X", $Y$2:$CG$2, ""))</f>
        <v/>
      </c>
      <c r="W164" s="2" t="str" cm="1">
        <f t="array" ref="W164">_xlfn.TEXTJOIN(", ", TRUE, IF(CH164:CS164="X", $CH$3:$CS$3, ""))</f>
        <v/>
      </c>
      <c r="X164" s="2" t="str" cm="1">
        <f t="array" ref="X164">_xlfn.TEXTJOIN(", ", TRUE, IF(CT164:CX164="X", $CT$3:$CX$3, ""))</f>
        <v/>
      </c>
    </row>
    <row r="165" spans="1:102" ht="18.75" customHeight="1" x14ac:dyDescent="0.25">
      <c r="A165" s="8">
        <v>68</v>
      </c>
      <c r="B165" s="2" t="s">
        <v>1118</v>
      </c>
      <c r="C165" s="2" t="s">
        <v>1119</v>
      </c>
      <c r="D165" s="29" t="s">
        <v>1120</v>
      </c>
      <c r="E165" s="29" t="s">
        <v>1121</v>
      </c>
      <c r="F165" s="18">
        <v>15318</v>
      </c>
      <c r="G165" s="8">
        <f ca="1">DATEDIF(F165, TODAY(), "Y")</f>
        <v>84</v>
      </c>
      <c r="H165" s="2" t="s">
        <v>457</v>
      </c>
      <c r="I165" s="2" t="s">
        <v>1122</v>
      </c>
      <c r="J165" s="29"/>
      <c r="L165" s="1">
        <v>659049258</v>
      </c>
      <c r="M165" s="30"/>
      <c r="N165" s="31"/>
      <c r="O165" s="31"/>
      <c r="P165" s="2" t="s">
        <v>1123</v>
      </c>
      <c r="Q165" s="2"/>
      <c r="R165" s="18"/>
      <c r="S165" s="18"/>
      <c r="T165" s="18"/>
      <c r="U165" s="2" t="str" cm="1">
        <f t="array" ref="U165">_xlfn.TEXTJOIN(", ", TRUE, IF(Y165:CG165="X", $Y$3:$CG$3, ""))</f>
        <v/>
      </c>
      <c r="V165" s="18" t="str" cm="1">
        <f t="array" ref="V165">_xlfn.TEXTJOIN(", ", TRUE, IF(Y165:CG165="X", $Y$2:$CG$2, ""))</f>
        <v/>
      </c>
      <c r="W165" s="2" t="str" cm="1">
        <f t="array" ref="W165">_xlfn.TEXTJOIN(", ", TRUE, IF(CH165:CS165="X", $CH$3:$CS$3, ""))</f>
        <v/>
      </c>
      <c r="X165" s="2" t="str" cm="1">
        <f t="array" ref="X165">_xlfn.TEXTJOIN(", ", TRUE, IF(CT165:CX165="X", $CT$3:$CX$3, ""))</f>
        <v/>
      </c>
      <c r="AJ165" s="49"/>
      <c r="CL165" s="49"/>
      <c r="CR165" s="49"/>
    </row>
    <row r="166" spans="1:102" ht="18.75" customHeight="1" x14ac:dyDescent="0.25">
      <c r="A166" s="8">
        <v>69</v>
      </c>
      <c r="B166" s="2" t="s">
        <v>1124</v>
      </c>
      <c r="C166" s="2" t="s">
        <v>1125</v>
      </c>
      <c r="D166" s="29" t="s">
        <v>1126</v>
      </c>
      <c r="E166" s="29" t="s">
        <v>1127</v>
      </c>
      <c r="F166" s="18">
        <v>13172</v>
      </c>
      <c r="G166" s="8">
        <f ca="1">DATEDIF(F166, TODAY(), "Y")</f>
        <v>90</v>
      </c>
      <c r="H166" s="2" t="s">
        <v>457</v>
      </c>
      <c r="I166" s="2" t="s">
        <v>1128</v>
      </c>
      <c r="J166" s="29"/>
      <c r="L166" s="1"/>
      <c r="M166" s="30"/>
      <c r="N166" s="31"/>
      <c r="O166" s="31"/>
      <c r="P166" s="49"/>
      <c r="Q166" s="49"/>
      <c r="R166" s="18"/>
      <c r="S166" s="18"/>
      <c r="T166" s="18"/>
      <c r="U166" s="2" t="str" cm="1">
        <f t="array" ref="U166">_xlfn.TEXTJOIN(", ", TRUE, IF(Y166:CG166="X", $Y$3:$CG$3, ""))</f>
        <v/>
      </c>
      <c r="V166" s="18" t="str" cm="1">
        <f t="array" ref="V166">_xlfn.TEXTJOIN(", ", TRUE, IF(Y166:CG166="X", $Y$2:$CG$2, ""))</f>
        <v/>
      </c>
      <c r="W166" s="2" t="str" cm="1">
        <f t="array" ref="W166">_xlfn.TEXTJOIN(", ", TRUE, IF(CH166:CS166="X", $CH$3:$CS$3, ""))</f>
        <v/>
      </c>
      <c r="X166" s="2" t="str" cm="1">
        <f t="array" ref="X166">_xlfn.TEXTJOIN(", ", TRUE, IF(CT166:CX166="X", $CT$3:$CX$3, ""))</f>
        <v/>
      </c>
      <c r="AJ166" s="82"/>
      <c r="CL166" s="82"/>
      <c r="CR166" s="82"/>
    </row>
    <row r="167" spans="1:102" ht="18.75" customHeight="1" x14ac:dyDescent="0.25">
      <c r="A167" s="8">
        <v>70</v>
      </c>
      <c r="B167" s="2" t="s">
        <v>1129</v>
      </c>
      <c r="C167" s="2" t="s">
        <v>1130</v>
      </c>
      <c r="D167" s="29" t="s">
        <v>1131</v>
      </c>
      <c r="E167" s="29" t="s">
        <v>1132</v>
      </c>
      <c r="F167" s="18">
        <v>15245</v>
      </c>
      <c r="G167" s="8">
        <f ca="1">DATEDIF(F167, TODAY(), "Y")</f>
        <v>84</v>
      </c>
      <c r="H167" s="2" t="s">
        <v>457</v>
      </c>
      <c r="I167" s="2" t="s">
        <v>1133</v>
      </c>
      <c r="J167" s="29"/>
      <c r="L167" s="1"/>
      <c r="M167" s="30"/>
      <c r="N167" s="31"/>
      <c r="O167" s="31"/>
      <c r="P167" s="49"/>
      <c r="Q167" s="49"/>
      <c r="R167" s="18"/>
      <c r="S167" s="18"/>
      <c r="T167" s="18"/>
      <c r="U167" s="2" t="str" cm="1">
        <f t="array" ref="U167">_xlfn.TEXTJOIN(", ", TRUE, IF(Y167:CG167="X", $Y$3:$CG$3, ""))</f>
        <v/>
      </c>
      <c r="V167" s="18" t="str" cm="1">
        <f t="array" ref="V167">_xlfn.TEXTJOIN(", ", TRUE, IF(Y167:CG167="X", $Y$2:$CG$2, ""))</f>
        <v/>
      </c>
      <c r="W167" s="2" t="str" cm="1">
        <f t="array" ref="W167">_xlfn.TEXTJOIN(", ", TRUE, IF(CH167:CS167="X", $CH$3:$CS$3, ""))</f>
        <v/>
      </c>
      <c r="X167" s="2" t="str" cm="1">
        <f t="array" ref="X167">_xlfn.TEXTJOIN(", ", TRUE, IF(CT167:CX167="X", $CT$3:$CX$3, ""))</f>
        <v/>
      </c>
    </row>
    <row r="168" spans="1:102" ht="18.75" customHeight="1" x14ac:dyDescent="0.25">
      <c r="A168" s="8">
        <v>71</v>
      </c>
      <c r="B168" s="2" t="s">
        <v>1134</v>
      </c>
      <c r="C168" s="2" t="s">
        <v>1135</v>
      </c>
      <c r="D168" s="29" t="s">
        <v>1136</v>
      </c>
      <c r="E168" s="29" t="s">
        <v>1137</v>
      </c>
      <c r="F168" s="18">
        <v>33092</v>
      </c>
      <c r="G168" s="8">
        <f ca="1">DATEDIF(F168, TODAY(), "Y")</f>
        <v>35</v>
      </c>
      <c r="H168" s="2" t="s">
        <v>457</v>
      </c>
      <c r="I168" s="2" t="s">
        <v>1138</v>
      </c>
      <c r="J168" s="29"/>
      <c r="L168" s="1">
        <v>687238179</v>
      </c>
      <c r="M168" s="30"/>
      <c r="N168" s="31"/>
      <c r="O168" s="31"/>
      <c r="P168" s="2" t="s">
        <v>1139</v>
      </c>
      <c r="Q168" s="2"/>
      <c r="R168" s="18"/>
      <c r="S168" s="18"/>
      <c r="T168" s="18"/>
      <c r="U168" s="2" t="str" cm="1">
        <f t="array" ref="U168">_xlfn.TEXTJOIN(", ", TRUE, IF(Y168:CG168="X", $Y$3:$CG$3, ""))</f>
        <v>Ardi haragia</v>
      </c>
      <c r="V168" s="18" t="str" cm="1">
        <f t="array" ref="V168">_xlfn.TEXTJOIN(", ", TRUE, IF(Y168:CG168="X", $Y$2:$CG$2, ""))</f>
        <v>HARAGIA</v>
      </c>
      <c r="W168" s="2" t="str" cm="1">
        <f t="array" ref="W168">_xlfn.TEXTJOIN(", ", TRUE, IF(CH168:CS168="X", $CH$3:$CS$3, ""))</f>
        <v/>
      </c>
      <c r="X168" s="2" t="str" cm="1">
        <f t="array" ref="X168">_xlfn.TEXTJOIN(", ", TRUE, IF(CT168:CX168="X", $CT$3:$CX$3, ""))</f>
        <v/>
      </c>
      <c r="AK168" s="49" t="s">
        <v>764</v>
      </c>
      <c r="AS168" s="49"/>
      <c r="BD168" s="49"/>
      <c r="CI168" s="49"/>
      <c r="CR168" s="49"/>
    </row>
    <row r="169" spans="1:102" ht="18.75" customHeight="1" x14ac:dyDescent="0.25">
      <c r="A169" s="8">
        <v>72</v>
      </c>
      <c r="B169" s="2" t="s">
        <v>1140</v>
      </c>
      <c r="C169" s="2" t="s">
        <v>1141</v>
      </c>
      <c r="D169" s="29" t="s">
        <v>1142</v>
      </c>
      <c r="E169" s="29" t="s">
        <v>1143</v>
      </c>
      <c r="F169" s="18">
        <v>17544</v>
      </c>
      <c r="G169" s="8">
        <f ca="1">DATEDIF(F169, TODAY(), "Y")</f>
        <v>78</v>
      </c>
      <c r="H169" s="2" t="s">
        <v>457</v>
      </c>
      <c r="I169" s="2" t="s">
        <v>1144</v>
      </c>
      <c r="J169" s="29"/>
      <c r="L169" s="1">
        <v>683170772</v>
      </c>
      <c r="M169" s="30"/>
      <c r="N169" s="31"/>
      <c r="O169" s="35"/>
      <c r="P169" s="65" t="s">
        <v>1145</v>
      </c>
      <c r="Q169" s="65"/>
      <c r="R169" s="18"/>
      <c r="S169" s="18"/>
      <c r="T169" s="18"/>
      <c r="U169" s="2" t="str" cm="1">
        <f t="array" ref="U169">_xlfn.TEXTJOIN(", ", TRUE, IF(Y169:CG169="X", $Y$3:$CG$3, ""))</f>
        <v/>
      </c>
      <c r="V169" s="18" t="str" cm="1">
        <f t="array" ref="V169">_xlfn.TEXTJOIN(", ", TRUE, IF(Y169:CG169="X", $Y$2:$CG$2, ""))</f>
        <v/>
      </c>
      <c r="W169" s="2" t="str" cm="1">
        <f t="array" ref="W169">_xlfn.TEXTJOIN(", ", TRUE, IF(CH169:CS169="X", $CH$3:$CS$3, ""))</f>
        <v/>
      </c>
      <c r="X169" s="2" t="str" cm="1">
        <f t="array" ref="X169">_xlfn.TEXTJOIN(", ", TRUE, IF(CT169:CX169="X", $CT$3:$CX$3, ""))</f>
        <v/>
      </c>
      <c r="AK169" s="82"/>
      <c r="AS169" s="82"/>
      <c r="BD169" s="82"/>
      <c r="CI169" s="82"/>
      <c r="CR169" s="82"/>
    </row>
    <row r="170" spans="1:102" ht="18.75" customHeight="1" x14ac:dyDescent="0.25">
      <c r="A170" s="8">
        <v>74</v>
      </c>
      <c r="B170" s="2" t="s">
        <v>1153</v>
      </c>
      <c r="C170" s="2" t="s">
        <v>1154</v>
      </c>
      <c r="D170" s="29" t="s">
        <v>1155</v>
      </c>
      <c r="E170" s="29" t="s">
        <v>1156</v>
      </c>
      <c r="F170" s="18">
        <v>25447</v>
      </c>
      <c r="G170" s="8">
        <f ca="1">DATEDIF(F170, TODAY(), "Y")</f>
        <v>56</v>
      </c>
      <c r="H170" s="2" t="s">
        <v>457</v>
      </c>
      <c r="I170" s="2" t="s">
        <v>1157</v>
      </c>
      <c r="J170" s="29"/>
      <c r="L170" s="1">
        <v>629445911</v>
      </c>
      <c r="M170" s="30"/>
      <c r="N170" s="31"/>
      <c r="O170" s="31"/>
      <c r="P170" s="2" t="s">
        <v>1158</v>
      </c>
      <c r="Q170" s="2"/>
      <c r="R170" s="18"/>
      <c r="S170" s="18"/>
      <c r="T170" s="18"/>
      <c r="U170" s="2" t="str" cm="1">
        <f t="array" ref="U170">_xlfn.TEXTJOIN(", ", TRUE, IF(Y170:CG170="X", $Y$3:$CG$3, ""))</f>
        <v/>
      </c>
      <c r="V170" s="18" t="str" cm="1">
        <f t="array" ref="V170">_xlfn.TEXTJOIN(", ", TRUE, IF(Y170:CG170="X", $Y$2:$CG$2, ""))</f>
        <v/>
      </c>
      <c r="W170" s="2" t="str" cm="1">
        <f t="array" ref="W170">_xlfn.TEXTJOIN(", ", TRUE, IF(CH170:CS170="X", $CH$3:$CS$3, ""))</f>
        <v/>
      </c>
      <c r="X170" s="2" t="str" cm="1">
        <f t="array" ref="X170">_xlfn.TEXTJOIN(", ", TRUE, IF(CT170:CX170="X", $CT$3:$CX$3, ""))</f>
        <v/>
      </c>
      <c r="Z170" s="49"/>
      <c r="AK170" s="49"/>
      <c r="AR170" s="49"/>
      <c r="CL170" s="49"/>
      <c r="CR170" s="49"/>
    </row>
    <row r="171" spans="1:102" ht="18.75" customHeight="1" x14ac:dyDescent="0.25">
      <c r="A171" s="8">
        <v>75</v>
      </c>
      <c r="B171" s="2" t="s">
        <v>1159</v>
      </c>
      <c r="C171" s="2" t="s">
        <v>1160</v>
      </c>
      <c r="D171" s="29" t="s">
        <v>1161</v>
      </c>
      <c r="E171" s="29" t="s">
        <v>1162</v>
      </c>
      <c r="F171" s="18">
        <v>33471</v>
      </c>
      <c r="G171" s="8">
        <f ca="1">DATEDIF(F171, TODAY(), "Y")</f>
        <v>34</v>
      </c>
      <c r="H171" s="2" t="s">
        <v>457</v>
      </c>
      <c r="I171" s="2" t="s">
        <v>1163</v>
      </c>
      <c r="J171" s="29"/>
      <c r="L171" s="1"/>
      <c r="M171" s="30"/>
      <c r="N171" s="31"/>
      <c r="O171" s="31"/>
      <c r="P171" s="49"/>
      <c r="Q171" s="49"/>
      <c r="R171" s="18"/>
      <c r="S171" s="18"/>
      <c r="T171" s="18"/>
      <c r="U171" s="2" t="str" cm="1">
        <f t="array" ref="U171">_xlfn.TEXTJOIN(", ", TRUE, IF(Y171:CG171="X", $Y$3:$CG$3, ""))</f>
        <v/>
      </c>
      <c r="V171" s="18" t="str" cm="1">
        <f t="array" ref="V171">_xlfn.TEXTJOIN(", ", TRUE, IF(Y171:CG171="X", $Y$2:$CG$2, ""))</f>
        <v/>
      </c>
      <c r="W171" s="2" t="str" cm="1">
        <f t="array" ref="W171">_xlfn.TEXTJOIN(", ", TRUE, IF(CH171:CS171="X", $CH$3:$CS$3, ""))</f>
        <v/>
      </c>
      <c r="X171" s="2" t="str" cm="1">
        <f t="array" ref="X171">_xlfn.TEXTJOIN(", ", TRUE, IF(CT171:CX171="X", $CT$3:$CX$3, ""))</f>
        <v/>
      </c>
      <c r="Z171" s="82"/>
      <c r="AK171" s="82"/>
      <c r="AR171" s="82"/>
      <c r="CL171" s="82"/>
      <c r="CR171" s="82"/>
    </row>
    <row r="172" spans="1:102" ht="18.75" customHeight="1" x14ac:dyDescent="0.25">
      <c r="A172" s="8">
        <v>76</v>
      </c>
      <c r="B172" s="2" t="s">
        <v>1164</v>
      </c>
      <c r="C172" s="2" t="s">
        <v>1165</v>
      </c>
      <c r="D172" s="29" t="s">
        <v>1166</v>
      </c>
      <c r="E172" s="29" t="s">
        <v>1167</v>
      </c>
      <c r="F172" s="18"/>
      <c r="G172" s="8">
        <f ca="1">DATEDIF(F172, TODAY(), "Y")</f>
        <v>126</v>
      </c>
      <c r="H172" s="2" t="s">
        <v>457</v>
      </c>
      <c r="I172" s="2" t="s">
        <v>1168</v>
      </c>
      <c r="J172" s="29"/>
      <c r="L172" s="1">
        <v>943883026</v>
      </c>
      <c r="M172" s="30"/>
      <c r="N172" s="31"/>
      <c r="O172" s="35"/>
      <c r="P172" s="65" t="s">
        <v>1169</v>
      </c>
      <c r="Q172" s="65"/>
      <c r="R172" s="49"/>
      <c r="S172" s="49"/>
      <c r="T172" s="49"/>
      <c r="U172" s="2" t="str" cm="1">
        <f t="array" ref="U172">_xlfn.TEXTJOIN(", ", TRUE, IF(Y172:CG172="X", $Y$3:$CG$3, ""))</f>
        <v/>
      </c>
      <c r="V172" s="18" t="str" cm="1">
        <f t="array" ref="V172">_xlfn.TEXTJOIN(", ", TRUE, IF(Y172:CG172="X", $Y$2:$CG$2, ""))</f>
        <v/>
      </c>
      <c r="W172" s="2" t="str" cm="1">
        <f t="array" ref="W172">_xlfn.TEXTJOIN(", ", TRUE, IF(CH172:CS172="X", $CH$3:$CS$3, ""))</f>
        <v/>
      </c>
      <c r="X172" s="2" t="str" cm="1">
        <f t="array" ref="X172">_xlfn.TEXTJOIN(", ", TRUE, IF(CT172:CX172="X", $CT$3:$CX$3, ""))</f>
        <v/>
      </c>
    </row>
    <row r="173" spans="1:102" ht="18.75" customHeight="1" x14ac:dyDescent="0.25">
      <c r="A173" s="8">
        <v>78</v>
      </c>
      <c r="B173" s="2" t="s">
        <v>1177</v>
      </c>
      <c r="C173" s="2" t="s">
        <v>1178</v>
      </c>
      <c r="D173" s="29" t="s">
        <v>1179</v>
      </c>
      <c r="E173" s="29" t="s">
        <v>1180</v>
      </c>
      <c r="F173" s="18">
        <v>27275</v>
      </c>
      <c r="G173" s="8">
        <f ca="1">DATEDIF(F173, TODAY(), "Y")</f>
        <v>51</v>
      </c>
      <c r="H173" s="2" t="s">
        <v>532</v>
      </c>
      <c r="I173" s="2" t="s">
        <v>1181</v>
      </c>
      <c r="J173" s="29"/>
      <c r="L173" s="1"/>
      <c r="M173" s="30"/>
      <c r="N173" s="31"/>
      <c r="O173" s="31"/>
      <c r="P173" s="49"/>
      <c r="Q173" s="49"/>
      <c r="R173" s="18"/>
      <c r="S173" s="18"/>
      <c r="T173" s="18"/>
      <c r="U173" s="2" t="str" cm="1">
        <f t="array" ref="U173">_xlfn.TEXTJOIN(", ", TRUE, IF(Y173:CG173="X", $Y$3:$CG$3, ""))</f>
        <v/>
      </c>
      <c r="V173" s="18" t="str" cm="1">
        <f t="array" ref="V173">_xlfn.TEXTJOIN(", ", TRUE, IF(Y173:CG173="X", $Y$2:$CG$2, ""))</f>
        <v/>
      </c>
      <c r="W173" s="2" t="str" cm="1">
        <f t="array" ref="W173">_xlfn.TEXTJOIN(", ", TRUE, IF(CH173:CS173="X", $CH$3:$CS$3, ""))</f>
        <v/>
      </c>
      <c r="X173" s="2" t="str" cm="1">
        <f t="array" ref="X173">_xlfn.TEXTJOIN(", ", TRUE, IF(CT173:CX173="X", $CT$3:$CX$3, ""))</f>
        <v/>
      </c>
    </row>
    <row r="174" spans="1:102" ht="18.75" customHeight="1" x14ac:dyDescent="0.25">
      <c r="A174" s="8">
        <v>80</v>
      </c>
      <c r="B174" s="2" t="s">
        <v>1188</v>
      </c>
      <c r="C174" s="2" t="s">
        <v>1189</v>
      </c>
      <c r="D174" s="29" t="s">
        <v>1190</v>
      </c>
      <c r="E174" s="29" t="s">
        <v>1191</v>
      </c>
      <c r="F174" s="18">
        <v>25512</v>
      </c>
      <c r="G174" s="8">
        <f ca="1">DATEDIF(F174, TODAY(), "Y")</f>
        <v>56</v>
      </c>
      <c r="H174" s="2" t="s">
        <v>532</v>
      </c>
      <c r="I174" s="2" t="s">
        <v>1192</v>
      </c>
      <c r="J174" s="29"/>
      <c r="L174" s="1">
        <v>610953652</v>
      </c>
      <c r="M174" s="30"/>
      <c r="N174" s="31"/>
      <c r="O174" s="31"/>
      <c r="P174" s="2" t="s">
        <v>1193</v>
      </c>
      <c r="Q174" s="2"/>
      <c r="R174" s="18"/>
      <c r="S174" s="18"/>
      <c r="T174" s="18"/>
      <c r="U174" s="2" t="str" cm="1">
        <f t="array" ref="U174">_xlfn.TEXTJOIN(", ", TRUE, IF(Y174:CG174="X", $Y$3:$CG$3, ""))</f>
        <v/>
      </c>
      <c r="V174" s="18" t="str" cm="1">
        <f t="array" ref="V174">_xlfn.TEXTJOIN(", ", TRUE, IF(Y174:CG174="X", $Y$2:$CG$2, ""))</f>
        <v/>
      </c>
      <c r="W174" s="2" t="str" cm="1">
        <f t="array" ref="W174">_xlfn.TEXTJOIN(", ", TRUE, IF(CH174:CS174="X", $CH$3:$CS$3, ""))</f>
        <v/>
      </c>
      <c r="X174" s="2" t="str" cm="1">
        <f t="array" ref="X174">_xlfn.TEXTJOIN(", ", TRUE, IF(CT174:CX174="X", $CT$3:$CX$3, ""))</f>
        <v/>
      </c>
      <c r="AC174" s="49"/>
      <c r="AK174" s="49"/>
      <c r="BD174" s="49"/>
      <c r="CI174" s="49"/>
      <c r="CJ174" s="49"/>
      <c r="CK174" s="49"/>
      <c r="CL174" s="49"/>
      <c r="CR174" s="49"/>
      <c r="CW174" s="49"/>
      <c r="CX174" s="49"/>
    </row>
    <row r="175" spans="1:102" ht="18.75" customHeight="1" x14ac:dyDescent="0.25">
      <c r="A175" s="8">
        <v>81</v>
      </c>
      <c r="B175" s="2" t="s">
        <v>1077</v>
      </c>
      <c r="C175" s="2" t="s">
        <v>1078</v>
      </c>
      <c r="D175" s="29" t="s">
        <v>1079</v>
      </c>
      <c r="E175" s="29" t="s">
        <v>1080</v>
      </c>
      <c r="F175" s="18">
        <v>21620</v>
      </c>
      <c r="G175" s="8">
        <f ca="1">DATEDIF(F175, TODAY(), "Y")</f>
        <v>67</v>
      </c>
      <c r="H175" s="2" t="s">
        <v>532</v>
      </c>
      <c r="I175" s="2" t="s">
        <v>1194</v>
      </c>
      <c r="J175" s="2"/>
      <c r="K175" s="49"/>
      <c r="L175" s="1">
        <v>677077629</v>
      </c>
      <c r="M175" s="30"/>
      <c r="N175" s="31"/>
      <c r="O175" s="31"/>
      <c r="P175" s="2" t="s">
        <v>1195</v>
      </c>
      <c r="Q175" s="2"/>
      <c r="R175" s="18"/>
      <c r="S175" s="18"/>
      <c r="T175" s="18"/>
      <c r="U175" s="2" t="str" cm="1">
        <f t="array" ref="U175">_xlfn.TEXTJOIN(", ", TRUE, IF(Y175:CG175="X", $Y$3:$CG$3, ""))</f>
        <v/>
      </c>
      <c r="V175" s="18" t="str" cm="1">
        <f t="array" ref="V175">_xlfn.TEXTJOIN(", ", TRUE, IF(Y175:CG175="X", $Y$2:$CG$2, ""))</f>
        <v/>
      </c>
      <c r="W175" s="2" t="str" cm="1">
        <f t="array" ref="W175">_xlfn.TEXTJOIN(", ", TRUE, IF(CH175:CS175="X", $CH$3:$CS$3, ""))</f>
        <v/>
      </c>
      <c r="X175" s="2" t="str" cm="1">
        <f t="array" ref="X175">_xlfn.TEXTJOIN(", ", TRUE, IF(CT175:CX175="X", $CT$3:$CX$3, ""))</f>
        <v/>
      </c>
      <c r="AC175" s="82"/>
      <c r="AJ175" s="49"/>
      <c r="AK175" s="82"/>
      <c r="BD175" s="82"/>
      <c r="CI175" s="49"/>
      <c r="CJ175" s="82"/>
      <c r="CK175" s="82"/>
      <c r="CL175" s="82"/>
      <c r="CM175" s="49"/>
      <c r="CO175" s="49"/>
      <c r="CP175" s="49"/>
      <c r="CQ175" s="38"/>
      <c r="CR175" s="82"/>
      <c r="CU175" s="49"/>
      <c r="CW175" s="82"/>
      <c r="CX175" s="82"/>
    </row>
    <row r="176" spans="1:102" ht="18.75" customHeight="1" x14ac:dyDescent="0.25">
      <c r="A176" s="8">
        <v>82</v>
      </c>
      <c r="B176" s="2" t="s">
        <v>1196</v>
      </c>
      <c r="C176" s="2" t="s">
        <v>1197</v>
      </c>
      <c r="D176" s="29" t="s">
        <v>1198</v>
      </c>
      <c r="E176" s="29" t="s">
        <v>1199</v>
      </c>
      <c r="F176" s="18"/>
      <c r="G176" s="8">
        <f ca="1">DATEDIF(F176, TODAY(), "Y")</f>
        <v>126</v>
      </c>
      <c r="H176" s="2" t="s">
        <v>532</v>
      </c>
      <c r="I176" s="2" t="s">
        <v>1200</v>
      </c>
      <c r="J176" s="29"/>
      <c r="K176" s="82"/>
      <c r="L176" s="1">
        <v>661300296</v>
      </c>
      <c r="M176" s="30"/>
      <c r="N176" s="31"/>
      <c r="O176" s="35"/>
      <c r="P176" s="65" t="s">
        <v>1201</v>
      </c>
      <c r="Q176" s="65" t="s">
        <v>3021</v>
      </c>
      <c r="R176" s="49"/>
      <c r="S176" s="49"/>
      <c r="T176" s="49"/>
      <c r="U176" s="2" t="str" cm="1">
        <f t="array" ref="U176">_xlfn.TEXTJOIN(", ", TRUE, IF(Y176:CG176="X", $Y$3:$CG$3, ""))</f>
        <v>Ogia</v>
      </c>
      <c r="V176" s="18" t="str" cm="1">
        <f t="array" ref="V176">_xlfn.TEXTJOIN(", ", TRUE, IF(Y176:CG176="X", $Y$2:$CG$2, ""))</f>
        <v>OGIGINTZA</v>
      </c>
      <c r="W176" s="2" t="str" cm="1">
        <f t="array" ref="W176">_xlfn.TEXTJOIN(", ", TRUE, IF(CH176:CS176="X", $CH$3:$CS$3, ""))</f>
        <v>Azokak</v>
      </c>
      <c r="X176" s="2" t="str" cm="1">
        <f t="array" ref="X176">_xlfn.TEXTJOIN(", ", TRUE, IF(CT176:CX176="X", $CT$3:$CX$3, ""))</f>
        <v>DO Idiazabal, Artzai Gazta</v>
      </c>
      <c r="AJ176" s="82"/>
      <c r="BX176" s="65" t="s">
        <v>764</v>
      </c>
      <c r="CH176" s="65" t="s">
        <v>764</v>
      </c>
      <c r="CI176" s="82"/>
      <c r="CM176" s="82"/>
      <c r="CO176" s="82"/>
      <c r="CP176" s="82"/>
      <c r="CQ176" s="82"/>
      <c r="CU176" s="82"/>
      <c r="CW176" s="65" t="s">
        <v>764</v>
      </c>
      <c r="CX176" s="65" t="s">
        <v>764</v>
      </c>
    </row>
    <row r="177" spans="1:102" ht="18.75" customHeight="1" x14ac:dyDescent="0.25">
      <c r="A177" s="8">
        <v>83</v>
      </c>
      <c r="B177" s="2" t="s">
        <v>1202</v>
      </c>
      <c r="C177" s="2" t="s">
        <v>1203</v>
      </c>
      <c r="D177" s="29" t="s">
        <v>1204</v>
      </c>
      <c r="E177" s="29" t="s">
        <v>1205</v>
      </c>
      <c r="F177" s="18">
        <v>21916</v>
      </c>
      <c r="G177" s="8">
        <f ca="1">DATEDIF(F177, TODAY(), "Y")</f>
        <v>66</v>
      </c>
      <c r="H177" s="2" t="s">
        <v>532</v>
      </c>
      <c r="I177" s="2" t="s">
        <v>1206</v>
      </c>
      <c r="J177" s="29"/>
      <c r="L177" s="1">
        <v>615007116</v>
      </c>
      <c r="M177" s="30"/>
      <c r="N177" s="31"/>
      <c r="O177" s="35"/>
      <c r="P177" s="65" t="s">
        <v>1207</v>
      </c>
      <c r="Q177" s="65" t="s">
        <v>3019</v>
      </c>
      <c r="R177" s="18"/>
      <c r="S177" s="18"/>
      <c r="T177" s="18"/>
      <c r="U177" s="2" t="str" cm="1">
        <f t="array" ref="U177">_xlfn.TEXTJOIN(", ", TRUE, IF(Y177:CG177="X", $Y$3:$CG$3, ""))</f>
        <v>Barazkiak aire librean, Babarrunak, Fruta</v>
      </c>
      <c r="V177" s="18" t="str" cm="1">
        <f t="array" ref="V177">_xlfn.TEXTJOIN(", ", TRUE, IF(Y177:CG177="X", $Y$2:$CG$2, ""))</f>
        <v>BARAZKIAK, LEKALEAK, FRUTA</v>
      </c>
      <c r="W177" s="2" t="str" cm="1">
        <f t="array" ref="W177">_xlfn.TEXTJOIN(", ", TRUE, IF(CH177:CS177="X", $CH$3:$CS$3, ""))</f>
        <v/>
      </c>
      <c r="X177" s="2" t="str" cm="1">
        <f t="array" ref="X177">_xlfn.TEXTJOIN(", ", TRUE, IF(CT177:CX177="X", $CT$3:$CX$3, ""))</f>
        <v/>
      </c>
      <c r="AS177" s="65" t="s">
        <v>764</v>
      </c>
      <c r="AZ177" s="65" t="s">
        <v>764</v>
      </c>
      <c r="BD177" s="65" t="s">
        <v>764</v>
      </c>
    </row>
    <row r="178" spans="1:102" ht="18.75" customHeight="1" x14ac:dyDescent="0.25">
      <c r="A178" s="8">
        <v>86</v>
      </c>
      <c r="B178" s="2" t="s">
        <v>1225</v>
      </c>
      <c r="C178" s="2" t="s">
        <v>1226</v>
      </c>
      <c r="D178" s="29" t="s">
        <v>1227</v>
      </c>
      <c r="E178" s="29" t="s">
        <v>1228</v>
      </c>
      <c r="F178" s="18">
        <v>22222</v>
      </c>
      <c r="G178" s="8">
        <f ca="1">DATEDIF(F178, TODAY(), "Y")</f>
        <v>65</v>
      </c>
      <c r="H178" s="2" t="s">
        <v>532</v>
      </c>
      <c r="I178" s="2" t="s">
        <v>1229</v>
      </c>
      <c r="J178" s="29"/>
      <c r="L178" s="1"/>
      <c r="M178" s="30"/>
      <c r="N178" s="31"/>
      <c r="O178" s="31"/>
      <c r="P178" s="49"/>
      <c r="Q178" s="49"/>
      <c r="R178" s="18"/>
      <c r="S178" s="18"/>
      <c r="T178" s="18"/>
      <c r="U178" s="2" t="str" cm="1">
        <f t="array" ref="U178">_xlfn.TEXTJOIN(", ", TRUE, IF(Y178:CG178="X", $Y$3:$CG$3, ""))</f>
        <v/>
      </c>
      <c r="V178" s="18" t="str" cm="1">
        <f t="array" ref="V178">_xlfn.TEXTJOIN(", ", TRUE, IF(Y178:CG178="X", $Y$2:$CG$2, ""))</f>
        <v/>
      </c>
      <c r="W178" s="2" t="str" cm="1">
        <f t="array" ref="W178">_xlfn.TEXTJOIN(", ", TRUE, IF(CH178:CS178="X", $CH$3:$CS$3, ""))</f>
        <v/>
      </c>
      <c r="X178" s="2" t="str" cm="1">
        <f t="array" ref="X178">_xlfn.TEXTJOIN(", ", TRUE, IF(CT178:CX178="X", $CT$3:$CX$3, ""))</f>
        <v/>
      </c>
    </row>
    <row r="179" spans="1:102" ht="18.75" customHeight="1" x14ac:dyDescent="0.25">
      <c r="A179" s="8">
        <v>87</v>
      </c>
      <c r="B179" s="2" t="s">
        <v>1230</v>
      </c>
      <c r="C179" s="2" t="s">
        <v>1231</v>
      </c>
      <c r="D179" s="29" t="s">
        <v>1232</v>
      </c>
      <c r="E179" s="29" t="s">
        <v>1233</v>
      </c>
      <c r="F179" s="18">
        <v>24169</v>
      </c>
      <c r="G179" s="8">
        <f ca="1">DATEDIF(F179, TODAY(), "Y")</f>
        <v>60</v>
      </c>
      <c r="H179" s="2" t="s">
        <v>532</v>
      </c>
      <c r="I179" s="2" t="s">
        <v>1234</v>
      </c>
      <c r="J179" s="29"/>
      <c r="L179" s="1"/>
      <c r="M179" s="30"/>
      <c r="N179" s="31"/>
      <c r="O179" s="31"/>
      <c r="P179" s="49"/>
      <c r="Q179" s="49"/>
      <c r="R179" s="18"/>
      <c r="S179" s="18"/>
      <c r="T179" s="18"/>
      <c r="U179" s="2" t="str" cm="1">
        <f t="array" ref="U179">_xlfn.TEXTJOIN(", ", TRUE, IF(Y179:CG179="X", $Y$3:$CG$3, ""))</f>
        <v/>
      </c>
      <c r="V179" s="18" t="str" cm="1">
        <f t="array" ref="V179">_xlfn.TEXTJOIN(", ", TRUE, IF(Y179:CG179="X", $Y$2:$CG$2, ""))</f>
        <v/>
      </c>
      <c r="W179" s="2" t="str" cm="1">
        <f t="array" ref="W179">_xlfn.TEXTJOIN(", ", TRUE, IF(CH179:CS179="X", $CH$3:$CS$3, ""))</f>
        <v/>
      </c>
      <c r="X179" s="2" t="str" cm="1">
        <f t="array" ref="X179">_xlfn.TEXTJOIN(", ", TRUE, IF(CT179:CX179="X", $CT$3:$CX$3, ""))</f>
        <v/>
      </c>
      <c r="Y179" s="49"/>
      <c r="AR179" s="49"/>
      <c r="AS179" s="49"/>
      <c r="AZ179" s="49"/>
      <c r="BA179" s="49"/>
      <c r="BX179" s="49"/>
      <c r="CI179" s="49"/>
      <c r="CR179" s="49"/>
    </row>
    <row r="180" spans="1:102" ht="18.75" customHeight="1" x14ac:dyDescent="0.25">
      <c r="A180" s="8">
        <v>88</v>
      </c>
      <c r="B180" s="2" t="s">
        <v>1235</v>
      </c>
      <c r="C180" s="2" t="s">
        <v>1236</v>
      </c>
      <c r="D180" s="29" t="s">
        <v>1237</v>
      </c>
      <c r="E180" s="29" t="s">
        <v>1238</v>
      </c>
      <c r="F180" s="18">
        <v>24106</v>
      </c>
      <c r="G180" s="8">
        <f ca="1">DATEDIF(F180, TODAY(), "Y")</f>
        <v>60</v>
      </c>
      <c r="H180" s="2" t="s">
        <v>532</v>
      </c>
      <c r="I180" s="2" t="s">
        <v>1239</v>
      </c>
      <c r="J180" s="29"/>
      <c r="L180" s="1"/>
      <c r="M180" s="30"/>
      <c r="N180" s="31"/>
      <c r="O180" s="31"/>
      <c r="P180" s="49"/>
      <c r="Q180" s="49"/>
      <c r="R180" s="18"/>
      <c r="S180" s="18"/>
      <c r="T180" s="18"/>
      <c r="U180" s="2" t="str" cm="1">
        <f t="array" ref="U180">_xlfn.TEXTJOIN(", ", TRUE, IF(Y180:CG180="X", $Y$3:$CG$3, ""))</f>
        <v>Arrautzak, Barazkiak aire librean</v>
      </c>
      <c r="V180" s="18" t="str" cm="1">
        <f t="array" ref="V180">_xlfn.TEXTJOIN(", ", TRUE, IF(Y180:CG180="X", $Y$2:$CG$2, ""))</f>
        <v>OILOAK, BARAZKIAK</v>
      </c>
      <c r="W180" s="2" t="str" cm="1">
        <f t="array" ref="W180">_xlfn.TEXTJOIN(", ", TRUE, IF(CH180:CS180="X", $CH$3:$CS$3, ""))</f>
        <v/>
      </c>
      <c r="X180" s="2" t="str" cm="1">
        <f t="array" ref="X180">_xlfn.TEXTJOIN(", ", TRUE, IF(CT180:CX180="X", $CT$3:$CX$3, ""))</f>
        <v/>
      </c>
      <c r="Y180" s="82"/>
      <c r="AR180" s="65" t="s">
        <v>764</v>
      </c>
      <c r="AS180" s="65" t="s">
        <v>764</v>
      </c>
      <c r="AZ180" s="82"/>
      <c r="BA180" s="82"/>
      <c r="BX180" s="82"/>
      <c r="CI180" s="82"/>
      <c r="CR180" s="82"/>
    </row>
    <row r="181" spans="1:102" ht="18.75" customHeight="1" x14ac:dyDescent="0.25">
      <c r="A181" s="8">
        <v>89</v>
      </c>
      <c r="B181" s="2" t="s">
        <v>1240</v>
      </c>
      <c r="C181" s="2" t="s">
        <v>1241</v>
      </c>
      <c r="D181" s="29" t="s">
        <v>1242</v>
      </c>
      <c r="E181" s="29" t="s">
        <v>1243</v>
      </c>
      <c r="F181" s="18">
        <v>23284</v>
      </c>
      <c r="G181" s="8">
        <f ca="1">DATEDIF(F181, TODAY(), "Y")</f>
        <v>62</v>
      </c>
      <c r="H181" s="2" t="s">
        <v>532</v>
      </c>
      <c r="I181" s="2" t="s">
        <v>1244</v>
      </c>
      <c r="J181" s="29"/>
      <c r="L181" s="1">
        <v>620134818</v>
      </c>
      <c r="M181" s="30"/>
      <c r="N181" s="31"/>
      <c r="O181" s="35"/>
      <c r="P181" s="65" t="s">
        <v>1245</v>
      </c>
      <c r="Q181" s="65"/>
      <c r="R181" s="18"/>
      <c r="S181" s="18"/>
      <c r="T181" s="18"/>
      <c r="U181" s="2" t="str" cm="1">
        <f t="array" ref="U181">_xlfn.TEXTJOIN(", ", TRUE, IF(Y181:CG181="X", $Y$3:$CG$3, ""))</f>
        <v/>
      </c>
      <c r="V181" s="18" t="str" cm="1">
        <f t="array" ref="V181">_xlfn.TEXTJOIN(", ", TRUE, IF(Y181:CG181="X", $Y$2:$CG$2, ""))</f>
        <v/>
      </c>
      <c r="W181" s="2" t="str" cm="1">
        <f t="array" ref="W181">_xlfn.TEXTJOIN(", ", TRUE, IF(CH181:CS181="X", $CH$3:$CS$3, ""))</f>
        <v/>
      </c>
      <c r="X181" s="2" t="str" cm="1">
        <f t="array" ref="X181">_xlfn.TEXTJOIN(", ", TRUE, IF(CT181:CX181="X", $CT$3:$CX$3, ""))</f>
        <v/>
      </c>
    </row>
    <row r="182" spans="1:102" ht="18.75" customHeight="1" x14ac:dyDescent="0.25">
      <c r="A182" s="8">
        <v>90</v>
      </c>
      <c r="B182" s="2" t="s">
        <v>1246</v>
      </c>
      <c r="C182" s="2" t="s">
        <v>1247</v>
      </c>
      <c r="D182" s="29" t="s">
        <v>1248</v>
      </c>
      <c r="E182" s="29" t="s">
        <v>1249</v>
      </c>
      <c r="F182" s="18">
        <v>16587</v>
      </c>
      <c r="G182" s="8">
        <f ca="1">DATEDIF(F182, TODAY(), "Y")</f>
        <v>81</v>
      </c>
      <c r="H182" s="2" t="s">
        <v>532</v>
      </c>
      <c r="I182" s="2" t="s">
        <v>1157</v>
      </c>
      <c r="J182" s="29"/>
      <c r="L182" s="1">
        <v>634971484</v>
      </c>
      <c r="M182" s="30"/>
      <c r="N182" s="31"/>
      <c r="O182" s="31"/>
      <c r="P182" s="2" t="s">
        <v>1250</v>
      </c>
      <c r="Q182" s="2"/>
      <c r="R182" s="18"/>
      <c r="S182" s="18"/>
      <c r="T182" s="18"/>
      <c r="U182" s="2" t="str" cm="1">
        <f t="array" ref="U182">_xlfn.TEXTJOIN(", ", TRUE, IF(Y182:CG182="X", $Y$3:$CG$3, ""))</f>
        <v/>
      </c>
      <c r="V182" s="18" t="str" cm="1">
        <f t="array" ref="V182">_xlfn.TEXTJOIN(", ", TRUE, IF(Y182:CG182="X", $Y$2:$CG$2, ""))</f>
        <v/>
      </c>
      <c r="W182" s="2" t="str" cm="1">
        <f t="array" ref="W182">_xlfn.TEXTJOIN(", ", TRUE, IF(CH182:CS182="X", $CH$3:$CS$3, ""))</f>
        <v/>
      </c>
      <c r="X182" s="2" t="str" cm="1">
        <f t="array" ref="X182">_xlfn.TEXTJOIN(", ", TRUE, IF(CT182:CX182="X", $CT$3:$CX$3, ""))</f>
        <v/>
      </c>
      <c r="AJ182" s="49"/>
      <c r="AL182" s="49"/>
      <c r="AP182" s="49"/>
    </row>
    <row r="183" spans="1:102" ht="18.75" customHeight="1" x14ac:dyDescent="0.25">
      <c r="A183" s="8">
        <v>91</v>
      </c>
      <c r="B183" s="2" t="s">
        <v>1251</v>
      </c>
      <c r="C183" s="2" t="s">
        <v>1252</v>
      </c>
      <c r="D183" s="29" t="s">
        <v>1253</v>
      </c>
      <c r="E183" s="29" t="s">
        <v>1254</v>
      </c>
      <c r="F183" s="18">
        <v>15182</v>
      </c>
      <c r="G183" s="8">
        <f ca="1">DATEDIF(F183, TODAY(), "Y")</f>
        <v>85</v>
      </c>
      <c r="H183" s="2" t="s">
        <v>532</v>
      </c>
      <c r="I183" s="2" t="s">
        <v>1255</v>
      </c>
      <c r="J183" s="29"/>
      <c r="L183" s="1"/>
      <c r="M183" s="30"/>
      <c r="N183" s="31"/>
      <c r="O183" s="31"/>
      <c r="P183" s="49"/>
      <c r="Q183" s="49"/>
      <c r="R183" s="18"/>
      <c r="S183" s="18"/>
      <c r="T183" s="18"/>
      <c r="U183" s="2" t="str" cm="1">
        <f t="array" ref="U183">_xlfn.TEXTJOIN(", ", TRUE, IF(Y183:CG183="X", $Y$3:$CG$3, ""))</f>
        <v/>
      </c>
      <c r="V183" s="18" t="str" cm="1">
        <f t="array" ref="V183">_xlfn.TEXTJOIN(", ", TRUE, IF(Y183:CG183="X", $Y$2:$CG$2, ""))</f>
        <v/>
      </c>
      <c r="W183" s="2" t="str" cm="1">
        <f t="array" ref="W183">_xlfn.TEXTJOIN(", ", TRUE, IF(CH183:CS183="X", $CH$3:$CS$3, ""))</f>
        <v/>
      </c>
      <c r="X183" s="2" t="str" cm="1">
        <f t="array" ref="X183">_xlfn.TEXTJOIN(", ", TRUE, IF(CT183:CX183="X", $CT$3:$CX$3, ""))</f>
        <v/>
      </c>
      <c r="AJ183" s="49"/>
      <c r="AL183" s="82"/>
      <c r="AP183" s="82"/>
    </row>
    <row r="184" spans="1:102" ht="18.75" customHeight="1" x14ac:dyDescent="0.25">
      <c r="A184" s="8">
        <v>92</v>
      </c>
      <c r="B184" s="2" t="s">
        <v>1256</v>
      </c>
      <c r="C184" s="2" t="s">
        <v>1257</v>
      </c>
      <c r="D184" s="29" t="s">
        <v>1258</v>
      </c>
      <c r="E184" s="29" t="s">
        <v>1259</v>
      </c>
      <c r="F184" s="18">
        <v>30864</v>
      </c>
      <c r="G184" s="8">
        <f ca="1">DATEDIF(F184, TODAY(), "Y")</f>
        <v>42</v>
      </c>
      <c r="H184" s="2" t="s">
        <v>532</v>
      </c>
      <c r="I184" s="2" t="s">
        <v>1260</v>
      </c>
      <c r="J184" s="29"/>
      <c r="L184" s="1">
        <v>626368317</v>
      </c>
      <c r="M184" s="30"/>
      <c r="N184" s="31"/>
      <c r="O184" s="31"/>
      <c r="P184" s="2" t="s">
        <v>1261</v>
      </c>
      <c r="Q184" s="2"/>
      <c r="R184" s="18"/>
      <c r="S184" s="18"/>
      <c r="T184" s="18"/>
      <c r="U184" s="2" t="str" cm="1">
        <f t="array" ref="U184">_xlfn.TEXTJOIN(", ", TRUE, IF(Y184:CG184="X", $Y$3:$CG$3, ""))</f>
        <v/>
      </c>
      <c r="V184" s="18" t="str" cm="1">
        <f t="array" ref="V184">_xlfn.TEXTJOIN(", ", TRUE, IF(Y184:CG184="X", $Y$2:$CG$2, ""))</f>
        <v/>
      </c>
      <c r="W184" s="2" t="str" cm="1">
        <f t="array" ref="W184">_xlfn.TEXTJOIN(", ", TRUE, IF(CH184:CS184="X", $CH$3:$CS$3, ""))</f>
        <v/>
      </c>
      <c r="X184" s="2" t="str" cm="1">
        <f t="array" ref="X184">_xlfn.TEXTJOIN(", ", TRUE, IF(CT184:CX184="X", $CT$3:$CX$3, ""))</f>
        <v/>
      </c>
      <c r="AJ184" s="82"/>
      <c r="CR184" s="49"/>
      <c r="CS184" s="49"/>
    </row>
    <row r="185" spans="1:102" ht="18.75" customHeight="1" x14ac:dyDescent="0.25">
      <c r="A185" s="8">
        <v>94</v>
      </c>
      <c r="B185" s="2" t="s">
        <v>1268</v>
      </c>
      <c r="C185" s="2" t="s">
        <v>1269</v>
      </c>
      <c r="D185" s="29" t="s">
        <v>1270</v>
      </c>
      <c r="E185" s="29" t="s">
        <v>1271</v>
      </c>
      <c r="F185" s="18">
        <v>12446</v>
      </c>
      <c r="G185" s="8">
        <f ca="1">DATEDIF(F185, TODAY(), "Y")</f>
        <v>92</v>
      </c>
      <c r="H185" s="2" t="s">
        <v>532</v>
      </c>
      <c r="I185" s="2" t="s">
        <v>1272</v>
      </c>
      <c r="J185" s="29"/>
      <c r="L185" s="1"/>
      <c r="M185" s="30"/>
      <c r="N185" s="31"/>
      <c r="O185" s="35"/>
      <c r="P185" s="82"/>
      <c r="Q185" s="82"/>
      <c r="R185" s="18"/>
      <c r="S185" s="18"/>
      <c r="T185" s="18"/>
      <c r="U185" s="2" t="str" cm="1">
        <f t="array" ref="U185">_xlfn.TEXTJOIN(", ", TRUE, IF(Y185:CG185="X", $Y$3:$CG$3, ""))</f>
        <v/>
      </c>
      <c r="V185" s="18" t="str" cm="1">
        <f t="array" ref="V185">_xlfn.TEXTJOIN(", ", TRUE, IF(Y185:CG185="X", $Y$2:$CG$2, ""))</f>
        <v/>
      </c>
      <c r="W185" s="2" t="str" cm="1">
        <f t="array" ref="W185">_xlfn.TEXTJOIN(", ", TRUE, IF(CH185:CS185="X", $CH$3:$CS$3, ""))</f>
        <v/>
      </c>
      <c r="X185" s="2" t="str" cm="1">
        <f t="array" ref="X185">_xlfn.TEXTJOIN(", ", TRUE, IF(CT185:CX185="X", $CT$3:$CX$3, ""))</f>
        <v/>
      </c>
      <c r="CR185" s="82"/>
      <c r="CS185" s="82"/>
    </row>
    <row r="186" spans="1:102" ht="18.75" customHeight="1" x14ac:dyDescent="0.25">
      <c r="A186" s="8">
        <v>95</v>
      </c>
      <c r="B186" s="2" t="s">
        <v>1273</v>
      </c>
      <c r="C186" s="2" t="s">
        <v>1274</v>
      </c>
      <c r="D186" s="29" t="s">
        <v>1275</v>
      </c>
      <c r="E186" s="29" t="s">
        <v>1276</v>
      </c>
      <c r="F186" s="18">
        <v>21822</v>
      </c>
      <c r="G186" s="8">
        <f ca="1">DATEDIF(F186, TODAY(), "Y")</f>
        <v>66</v>
      </c>
      <c r="H186" s="2" t="s">
        <v>532</v>
      </c>
      <c r="I186" s="2" t="s">
        <v>1277</v>
      </c>
      <c r="J186" s="29"/>
      <c r="L186" s="1">
        <v>650228599</v>
      </c>
      <c r="M186" s="30"/>
      <c r="N186" s="31"/>
      <c r="O186" s="31"/>
      <c r="P186" s="2" t="s">
        <v>1278</v>
      </c>
      <c r="Q186" s="2"/>
      <c r="R186" s="18"/>
      <c r="S186" s="72"/>
      <c r="T186" s="72"/>
      <c r="U186" s="2" t="str" cm="1">
        <f t="array" ref="U186">_xlfn.TEXTJOIN(", ", TRUE, IF(Y186:CG186="X", $Y$3:$CG$3, ""))</f>
        <v/>
      </c>
      <c r="V186" s="18" t="str" cm="1">
        <f t="array" ref="V186">_xlfn.TEXTJOIN(", ", TRUE, IF(Y186:CG186="X", $Y$2:$CG$2, ""))</f>
        <v/>
      </c>
      <c r="W186" s="2" t="str" cm="1">
        <f t="array" ref="W186">_xlfn.TEXTJOIN(", ", TRUE, IF(CH186:CS186="X", $CH$3:$CS$3, ""))</f>
        <v/>
      </c>
      <c r="X186" s="2" t="str" cm="1">
        <f t="array" ref="X186">_xlfn.TEXTJOIN(", ", TRUE, IF(CT186:CX186="X", $CT$3:$CX$3, ""))</f>
        <v/>
      </c>
      <c r="Z186" s="49"/>
      <c r="AC186" s="49"/>
      <c r="AK186" s="49"/>
      <c r="AX186" s="49"/>
      <c r="AY186" s="49"/>
      <c r="AZ186" s="49"/>
      <c r="BX186" s="49"/>
      <c r="BZ186" s="49"/>
      <c r="CH186" s="49"/>
      <c r="CI186" s="49"/>
      <c r="CJ186" s="49"/>
      <c r="CL186" s="49"/>
      <c r="CR186" s="49"/>
      <c r="CW186" s="49"/>
      <c r="CX186" s="49"/>
    </row>
    <row r="187" spans="1:102" ht="18.75" customHeight="1" x14ac:dyDescent="0.25">
      <c r="A187" s="8">
        <v>97</v>
      </c>
      <c r="B187" s="2" t="s">
        <v>1287</v>
      </c>
      <c r="C187" s="2" t="s">
        <v>1288</v>
      </c>
      <c r="D187" s="29" t="s">
        <v>1289</v>
      </c>
      <c r="E187" s="29" t="s">
        <v>1290</v>
      </c>
      <c r="F187" s="18">
        <v>28392</v>
      </c>
      <c r="G187" s="8">
        <f ca="1">DATEDIF(F187, TODAY(), "Y")</f>
        <v>48</v>
      </c>
      <c r="H187" s="2" t="s">
        <v>537</v>
      </c>
      <c r="I187" s="2" t="s">
        <v>1291</v>
      </c>
      <c r="J187" s="29"/>
      <c r="L187" s="1"/>
      <c r="M187" s="30"/>
      <c r="N187" s="31"/>
      <c r="O187" s="35"/>
      <c r="P187" s="82"/>
      <c r="Q187" s="82"/>
      <c r="R187" s="18"/>
      <c r="S187" s="18"/>
      <c r="T187" s="18"/>
      <c r="U187" s="2" t="str" cm="1">
        <f t="array" ref="U187">_xlfn.TEXTJOIN(", ", TRUE, IF(Y187:CG187="X", $Y$3:$CG$3, ""))</f>
        <v/>
      </c>
      <c r="V187" s="18" t="str" cm="1">
        <f t="array" ref="V187">_xlfn.TEXTJOIN(", ", TRUE, IF(Y187:CG187="X", $Y$2:$CG$2, ""))</f>
        <v/>
      </c>
      <c r="W187" s="2" t="str" cm="1">
        <f t="array" ref="W187">_xlfn.TEXTJOIN(", ", TRUE, IF(CH187:CS187="X", $CH$3:$CS$3, ""))</f>
        <v/>
      </c>
      <c r="X187" s="2" t="str" cm="1">
        <f t="array" ref="X187">_xlfn.TEXTJOIN(", ", TRUE, IF(CT187:CX187="X", $CT$3:$CX$3, ""))</f>
        <v/>
      </c>
      <c r="Z187" s="82"/>
      <c r="AC187" s="82"/>
      <c r="AK187" s="82"/>
      <c r="AX187" s="82"/>
      <c r="AY187" s="82"/>
      <c r="AZ187" s="82"/>
      <c r="BX187" s="82"/>
      <c r="BZ187" s="82"/>
      <c r="CH187" s="82"/>
      <c r="CI187" s="82"/>
      <c r="CJ187" s="82"/>
      <c r="CL187" s="82"/>
      <c r="CR187" s="82"/>
      <c r="CW187" s="82"/>
      <c r="CX187" s="82"/>
    </row>
    <row r="188" spans="1:102" ht="18.75" customHeight="1" x14ac:dyDescent="0.25">
      <c r="A188" s="8">
        <v>100</v>
      </c>
      <c r="B188" s="2" t="s">
        <v>1301</v>
      </c>
      <c r="C188" s="2" t="s">
        <v>1302</v>
      </c>
      <c r="D188" s="29" t="s">
        <v>1303</v>
      </c>
      <c r="E188" s="29" t="s">
        <v>1304</v>
      </c>
      <c r="F188" s="18"/>
      <c r="G188" s="8">
        <f ca="1">DATEDIF(F188, TODAY(), "Y")</f>
        <v>126</v>
      </c>
      <c r="H188" s="2" t="s">
        <v>537</v>
      </c>
      <c r="I188" s="2" t="s">
        <v>1305</v>
      </c>
      <c r="J188" s="29"/>
      <c r="L188" s="1"/>
      <c r="M188" s="30"/>
      <c r="N188" s="31"/>
      <c r="O188" s="35"/>
      <c r="R188" s="49"/>
      <c r="S188" s="49"/>
      <c r="T188" s="49"/>
      <c r="U188" s="2" t="str" cm="1">
        <f t="array" ref="U188">_xlfn.TEXTJOIN(", ", TRUE, IF(Y188:CG188="X", $Y$3:$CG$3, ""))</f>
        <v/>
      </c>
      <c r="V188" s="18" t="str" cm="1">
        <f t="array" ref="V188">_xlfn.TEXTJOIN(", ", TRUE, IF(Y188:CG188="X", $Y$2:$CG$2, ""))</f>
        <v/>
      </c>
      <c r="W188" s="2" t="str" cm="1">
        <f t="array" ref="W188">_xlfn.TEXTJOIN(", ", TRUE, IF(CH188:CS188="X", $CH$3:$CS$3, ""))</f>
        <v/>
      </c>
      <c r="X188" s="2" t="str" cm="1">
        <f t="array" ref="X188">_xlfn.TEXTJOIN(", ", TRUE, IF(CT188:CX188="X", $CT$3:$CX$3, ""))</f>
        <v/>
      </c>
    </row>
    <row r="189" spans="1:102" ht="18.75" customHeight="1" x14ac:dyDescent="0.25">
      <c r="A189" s="8">
        <v>101</v>
      </c>
      <c r="B189" s="2" t="s">
        <v>1306</v>
      </c>
      <c r="C189" s="2" t="s">
        <v>1307</v>
      </c>
      <c r="D189" s="29" t="s">
        <v>1308</v>
      </c>
      <c r="E189" s="29" t="s">
        <v>1309</v>
      </c>
      <c r="F189" s="18">
        <v>28467</v>
      </c>
      <c r="G189" s="8">
        <f ca="1">DATEDIF(F189, TODAY(), "Y")</f>
        <v>48</v>
      </c>
      <c r="H189" s="2" t="s">
        <v>537</v>
      </c>
      <c r="I189" s="2" t="s">
        <v>1310</v>
      </c>
      <c r="J189" s="29"/>
      <c r="L189" s="1">
        <v>617161441</v>
      </c>
      <c r="M189" s="30"/>
      <c r="N189" s="31"/>
      <c r="O189" s="35"/>
      <c r="P189" s="65" t="s">
        <v>1311</v>
      </c>
      <c r="Q189" s="65" t="s">
        <v>3020</v>
      </c>
      <c r="R189" s="18"/>
      <c r="S189" s="18"/>
      <c r="T189" s="18"/>
      <c r="U189" s="2" t="str" cm="1">
        <f t="array" ref="U189">_xlfn.TEXTJOIN(", ", TRUE, IF(Y189:CG189="X", $Y$3:$CG$3, ""))</f>
        <v>Oilaskoak, Eztia</v>
      </c>
      <c r="V189" s="18" t="str" cm="1">
        <f t="array" ref="V189">_xlfn.TEXTJOIN(", ", TRUE, IF(Y189:CG189="X", $Y$2:$CG$2, ""))</f>
        <v>HARAGIA, ERLEAK</v>
      </c>
      <c r="W189" s="2" t="str" cm="1">
        <f t="array" ref="W189">_xlfn.TEXTJOIN(", ", TRUE, IF(CH189:CS189="X", $CH$3:$CS$3, ""))</f>
        <v/>
      </c>
      <c r="X189" s="2" t="str" cm="1">
        <f t="array" ref="X189">_xlfn.TEXTJOIN(", ", TRUE, IF(CT189:CX189="X", $CT$3:$CX$3, ""))</f>
        <v/>
      </c>
      <c r="AN189" s="65" t="s">
        <v>1312</v>
      </c>
      <c r="BA189" s="65" t="s">
        <v>1312</v>
      </c>
    </row>
    <row r="190" spans="1:102" ht="18.75" customHeight="1" x14ac:dyDescent="0.25">
      <c r="A190" s="8">
        <v>103</v>
      </c>
      <c r="B190" s="2" t="s">
        <v>1320</v>
      </c>
      <c r="C190" s="2" t="s">
        <v>1321</v>
      </c>
      <c r="D190" s="29" t="s">
        <v>1322</v>
      </c>
      <c r="E190" s="29" t="s">
        <v>1323</v>
      </c>
      <c r="F190" s="18">
        <v>17510</v>
      </c>
      <c r="G190" s="8">
        <f ca="1">DATEDIF(F190, TODAY(), "Y")</f>
        <v>78</v>
      </c>
      <c r="H190" s="2" t="s">
        <v>537</v>
      </c>
      <c r="I190" s="2" t="s">
        <v>1324</v>
      </c>
      <c r="J190" s="29"/>
      <c r="L190" s="1" t="s">
        <v>1325</v>
      </c>
      <c r="M190" s="30"/>
      <c r="N190" s="31"/>
      <c r="O190" s="31"/>
      <c r="P190" s="2" t="s">
        <v>1326</v>
      </c>
      <c r="Q190" s="2" t="s">
        <v>3019</v>
      </c>
      <c r="R190" s="2" t="s">
        <v>1216</v>
      </c>
      <c r="S190" s="2"/>
      <c r="T190" s="2"/>
      <c r="U190" s="2" t="str" cm="1">
        <f t="array" ref="U190">_xlfn.TEXTJOIN(", ", TRUE, IF(Y190:CG190="X", $Y$3:$CG$3, ""))</f>
        <v>Arrautzak, Barazkiak aire librean, Piperminak, Mermelada, Babarrunak, Fruta, Sagarrak, Intxaurrak</v>
      </c>
      <c r="V190" s="18" t="str" cm="1">
        <f t="array" ref="V190">_xlfn.TEXTJOIN(", ", TRUE, IF(Y190:CG190="X", $Y$2:$CG$2, ""))</f>
        <v>OILOAK, BARAZKIAK, ERATORRIAK, ERATORRIAK, LEKALEAK, FRUTA, FRUTA, FRUITU LEHORRAK</v>
      </c>
      <c r="W190" s="2" t="str" cm="1">
        <f t="array" ref="W190">_xlfn.TEXTJOIN(", ", TRUE, IF(CH190:CS190="X", $CH$3:$CS$3, ""))</f>
        <v>Azokak, Bertatik Bertara</v>
      </c>
      <c r="X190" s="2" t="str" cm="1">
        <f t="array" ref="X190">_xlfn.TEXTJOIN(", ", TRUE, IF(CT190:CX190="X", $CT$3:$CX$3, ""))</f>
        <v/>
      </c>
      <c r="AR190" s="65" t="s">
        <v>764</v>
      </c>
      <c r="AS190" s="65" t="s">
        <v>764</v>
      </c>
      <c r="AW190" s="65" t="s">
        <v>764</v>
      </c>
      <c r="AX190" s="65" t="s">
        <v>764</v>
      </c>
      <c r="AZ190" s="65" t="s">
        <v>764</v>
      </c>
      <c r="BD190" s="3" t="s">
        <v>764</v>
      </c>
      <c r="BF190" s="65" t="s">
        <v>764</v>
      </c>
      <c r="BO190" s="65" t="s">
        <v>764</v>
      </c>
      <c r="CH190" s="65" t="s">
        <v>764</v>
      </c>
      <c r="CR190" s="65" t="s">
        <v>764</v>
      </c>
    </row>
    <row r="191" spans="1:102" ht="18.75" customHeight="1" x14ac:dyDescent="0.25">
      <c r="A191" s="8">
        <v>104</v>
      </c>
      <c r="B191" s="2" t="s">
        <v>1327</v>
      </c>
      <c r="C191" s="2" t="s">
        <v>1328</v>
      </c>
      <c r="D191" s="29" t="s">
        <v>1329</v>
      </c>
      <c r="E191" s="29" t="s">
        <v>1330</v>
      </c>
      <c r="F191" s="18">
        <v>17205</v>
      </c>
      <c r="G191" s="8">
        <f ca="1">DATEDIF(F191, TODAY(), "Y")</f>
        <v>79</v>
      </c>
      <c r="H191" s="2" t="s">
        <v>537</v>
      </c>
      <c r="I191" s="2" t="s">
        <v>1331</v>
      </c>
      <c r="J191" s="29"/>
      <c r="L191" s="1"/>
      <c r="M191" s="30"/>
      <c r="N191" s="31"/>
      <c r="O191" s="35"/>
      <c r="P191" s="82"/>
      <c r="Q191" s="82"/>
      <c r="R191" s="18"/>
      <c r="S191" s="18"/>
      <c r="T191" s="18"/>
      <c r="U191" s="2" t="str" cm="1">
        <f t="array" ref="U191">_xlfn.TEXTJOIN(", ", TRUE, IF(Y191:CG191="X", $Y$3:$CG$3, ""))</f>
        <v/>
      </c>
      <c r="V191" s="18" t="str" cm="1">
        <f t="array" ref="V191">_xlfn.TEXTJOIN(", ", TRUE, IF(Y191:CG191="X", $Y$2:$CG$2, ""))</f>
        <v/>
      </c>
      <c r="W191" s="2" t="str" cm="1">
        <f t="array" ref="W191">_xlfn.TEXTJOIN(", ", TRUE, IF(CH191:CS191="X", $CH$3:$CS$3, ""))</f>
        <v/>
      </c>
      <c r="X191" s="2" t="str" cm="1">
        <f t="array" ref="X191">_xlfn.TEXTJOIN(", ", TRUE, IF(CT191:CX191="X", $CT$3:$CX$3, ""))</f>
        <v/>
      </c>
    </row>
    <row r="192" spans="1:102" ht="18.75" customHeight="1" x14ac:dyDescent="0.25">
      <c r="A192" s="8">
        <v>105</v>
      </c>
      <c r="B192" s="2" t="s">
        <v>1332</v>
      </c>
      <c r="C192" s="2" t="s">
        <v>1333</v>
      </c>
      <c r="D192" s="29" t="s">
        <v>1334</v>
      </c>
      <c r="E192" s="29" t="s">
        <v>1335</v>
      </c>
      <c r="F192" s="18">
        <v>20433</v>
      </c>
      <c r="G192" s="8">
        <f ca="1">DATEDIF(F192, TODAY(), "Y")</f>
        <v>70</v>
      </c>
      <c r="H192" s="2" t="s">
        <v>537</v>
      </c>
      <c r="I192" s="2" t="s">
        <v>1336</v>
      </c>
      <c r="J192" s="29"/>
      <c r="L192" s="1"/>
      <c r="M192" s="30"/>
      <c r="N192" s="31"/>
      <c r="O192" s="35"/>
      <c r="P192" s="38"/>
      <c r="Q192" s="38"/>
      <c r="R192" s="72"/>
      <c r="S192" s="72"/>
      <c r="T192" s="72"/>
      <c r="U192" s="2" t="str" cm="1">
        <f t="array" ref="U192">_xlfn.TEXTJOIN(", ", TRUE, IF(Y192:CG192="X", $Y$3:$CG$3, ""))</f>
        <v/>
      </c>
      <c r="V192" s="18" t="str" cm="1">
        <f t="array" ref="V192">_xlfn.TEXTJOIN(", ", TRUE, IF(Y192:CG192="X", $Y$2:$CG$2, ""))</f>
        <v/>
      </c>
      <c r="W192" s="2" t="str" cm="1">
        <f t="array" ref="W192">_xlfn.TEXTJOIN(", ", TRUE, IF(CH192:CS192="X", $CH$3:$CS$3, ""))</f>
        <v/>
      </c>
      <c r="X192" s="2" t="str" cm="1">
        <f t="array" ref="X192">_xlfn.TEXTJOIN(", ", TRUE, IF(CT192:CX192="X", $CT$3:$CX$3, ""))</f>
        <v/>
      </c>
      <c r="AS192" s="49"/>
      <c r="AX192" s="49"/>
      <c r="BD192" s="49"/>
      <c r="BF192" s="49"/>
      <c r="CR192" s="49"/>
    </row>
    <row r="193" spans="1:98" ht="18.75" customHeight="1" x14ac:dyDescent="0.25">
      <c r="A193" s="8">
        <v>106</v>
      </c>
      <c r="B193" s="2" t="s">
        <v>1337</v>
      </c>
      <c r="C193" s="2" t="s">
        <v>1338</v>
      </c>
      <c r="D193" s="29" t="s">
        <v>1339</v>
      </c>
      <c r="E193" s="29" t="s">
        <v>1340</v>
      </c>
      <c r="F193" s="18">
        <v>17656</v>
      </c>
      <c r="G193" s="8">
        <f ca="1">DATEDIF(F193, TODAY(), "Y")</f>
        <v>78</v>
      </c>
      <c r="H193" s="2" t="s">
        <v>537</v>
      </c>
      <c r="I193" s="2" t="s">
        <v>1341</v>
      </c>
      <c r="J193" s="29"/>
      <c r="L193" s="1">
        <v>673111502</v>
      </c>
      <c r="M193" s="30"/>
      <c r="N193" s="31"/>
      <c r="O193" s="31"/>
      <c r="P193" s="2" t="s">
        <v>1342</v>
      </c>
      <c r="Q193" s="2"/>
      <c r="R193" s="18"/>
      <c r="S193" s="18"/>
      <c r="T193" s="18"/>
      <c r="U193" s="2" t="str" cm="1">
        <f t="array" ref="U193">_xlfn.TEXTJOIN(", ", TRUE, IF(Y193:CG193="X", $Y$3:$CG$3, ""))</f>
        <v/>
      </c>
      <c r="V193" s="18" t="str" cm="1">
        <f t="array" ref="V193">_xlfn.TEXTJOIN(", ", TRUE, IF(Y193:CG193="X", $Y$2:$CG$2, ""))</f>
        <v/>
      </c>
      <c r="W193" s="2" t="str" cm="1">
        <f t="array" ref="W193">_xlfn.TEXTJOIN(", ", TRUE, IF(CH193:CS193="X", $CH$3:$CS$3, ""))</f>
        <v/>
      </c>
      <c r="X193" s="2" t="str" cm="1">
        <f t="array" ref="X193">_xlfn.TEXTJOIN(", ", TRUE, IF(CT193:CX193="X", $CT$3:$CX$3, ""))</f>
        <v/>
      </c>
      <c r="AC193" s="49"/>
      <c r="AJ193" s="49"/>
      <c r="AN193" s="49"/>
      <c r="AS193" s="82"/>
      <c r="AX193" s="49"/>
      <c r="AZ193" s="49"/>
      <c r="BD193" s="49"/>
      <c r="BF193" s="82"/>
      <c r="CI193" s="49"/>
      <c r="CL193" s="49"/>
      <c r="CR193" s="49"/>
    </row>
    <row r="194" spans="1:98" ht="18.75" customHeight="1" x14ac:dyDescent="0.25">
      <c r="A194" s="8">
        <v>107</v>
      </c>
      <c r="B194" s="2" t="s">
        <v>1337</v>
      </c>
      <c r="C194" s="2" t="s">
        <v>1338</v>
      </c>
      <c r="D194" s="29" t="s">
        <v>1339</v>
      </c>
      <c r="E194" s="29" t="s">
        <v>1340</v>
      </c>
      <c r="F194" s="18">
        <v>12761</v>
      </c>
      <c r="G194" s="8">
        <f ca="1">DATEDIF(F194, TODAY(), "Y")</f>
        <v>91</v>
      </c>
      <c r="H194" s="2" t="s">
        <v>537</v>
      </c>
      <c r="I194" s="2" t="s">
        <v>1343</v>
      </c>
      <c r="J194" s="29"/>
      <c r="L194" s="1"/>
      <c r="M194" s="30"/>
      <c r="N194" s="31"/>
      <c r="O194" s="31"/>
      <c r="P194" s="49"/>
      <c r="Q194" s="49"/>
      <c r="R194" s="18"/>
      <c r="S194" s="18"/>
      <c r="T194" s="18"/>
      <c r="U194" s="2" t="str" cm="1">
        <f t="array" ref="U194">_xlfn.TEXTJOIN(", ", TRUE, IF(Y194:CG194="X", $Y$3:$CG$3, ""))</f>
        <v/>
      </c>
      <c r="V194" s="18" t="str" cm="1">
        <f t="array" ref="V194">_xlfn.TEXTJOIN(", ", TRUE, IF(Y194:CG194="X", $Y$2:$CG$2, ""))</f>
        <v/>
      </c>
      <c r="W194" s="2" t="str" cm="1">
        <f t="array" ref="W194">_xlfn.TEXTJOIN(", ", TRUE, IF(CH194:CS194="X", $CH$3:$CS$3, ""))</f>
        <v/>
      </c>
      <c r="X194" s="2" t="str" cm="1">
        <f t="array" ref="X194">_xlfn.TEXTJOIN(", ", TRUE, IF(CT194:CX194="X", $CT$3:$CX$3, ""))</f>
        <v/>
      </c>
      <c r="AC194" s="82"/>
      <c r="AJ194" s="49"/>
      <c r="AN194" s="82"/>
      <c r="AX194" s="82"/>
      <c r="AZ194" s="49"/>
      <c r="BD194" s="82"/>
      <c r="CI194" s="49"/>
      <c r="CL194" s="49"/>
      <c r="CR194" s="49"/>
    </row>
    <row r="195" spans="1:98" ht="18.75" customHeight="1" x14ac:dyDescent="0.25">
      <c r="A195" s="8">
        <v>108</v>
      </c>
      <c r="B195" s="2" t="s">
        <v>1344</v>
      </c>
      <c r="C195" s="2" t="s">
        <v>1345</v>
      </c>
      <c r="D195" s="29" t="s">
        <v>1346</v>
      </c>
      <c r="E195" s="29" t="s">
        <v>1347</v>
      </c>
      <c r="F195" s="18">
        <v>11369</v>
      </c>
      <c r="G195" s="8">
        <f ca="1">DATEDIF(F195, TODAY(), "Y")</f>
        <v>95</v>
      </c>
      <c r="H195" s="2" t="s">
        <v>537</v>
      </c>
      <c r="I195" s="2" t="s">
        <v>1348</v>
      </c>
      <c r="J195" s="29"/>
      <c r="L195" s="1">
        <v>670955736</v>
      </c>
      <c r="M195" s="30"/>
      <c r="N195" s="31"/>
      <c r="O195" s="31"/>
      <c r="P195" s="2" t="s">
        <v>1349</v>
      </c>
      <c r="Q195" s="2"/>
      <c r="R195" s="18"/>
      <c r="S195" s="18"/>
      <c r="T195" s="18"/>
      <c r="U195" s="2" t="str" cm="1">
        <f t="array" ref="U195">_xlfn.TEXTJOIN(", ", TRUE, IF(Y195:CG195="X", $Y$3:$CG$3, ""))</f>
        <v/>
      </c>
      <c r="V195" s="18" t="str" cm="1">
        <f t="array" ref="V195">_xlfn.TEXTJOIN(", ", TRUE, IF(Y195:CG195="X", $Y$2:$CG$2, ""))</f>
        <v/>
      </c>
      <c r="W195" s="2" t="str" cm="1">
        <f t="array" ref="W195">_xlfn.TEXTJOIN(", ", TRUE, IF(CH195:CS195="X", $CH$3:$CS$3, ""))</f>
        <v/>
      </c>
      <c r="X195" s="2" t="str" cm="1">
        <f t="array" ref="X195">_xlfn.TEXTJOIN(", ", TRUE, IF(CT195:CX195="X", $CT$3:$CX$3, ""))</f>
        <v/>
      </c>
      <c r="AJ195" s="82"/>
      <c r="AZ195" s="82"/>
      <c r="CI195" s="82"/>
      <c r="CL195" s="82"/>
      <c r="CR195" s="82"/>
    </row>
    <row r="196" spans="1:98" ht="18.75" customHeight="1" x14ac:dyDescent="0.25">
      <c r="A196" s="8">
        <v>109</v>
      </c>
      <c r="B196" s="2" t="s">
        <v>1350</v>
      </c>
      <c r="C196" s="2" t="s">
        <v>1351</v>
      </c>
      <c r="D196" s="29" t="s">
        <v>1352</v>
      </c>
      <c r="E196" s="29" t="s">
        <v>1353</v>
      </c>
      <c r="F196" s="18">
        <v>22366</v>
      </c>
      <c r="G196" s="8">
        <f ca="1">DATEDIF(F196, TODAY(), "Y")</f>
        <v>65</v>
      </c>
      <c r="H196" s="2" t="s">
        <v>537</v>
      </c>
      <c r="I196" s="2" t="s">
        <v>1354</v>
      </c>
      <c r="J196" s="29"/>
      <c r="L196" s="1">
        <v>629099478</v>
      </c>
      <c r="M196" s="30"/>
      <c r="N196" s="31"/>
      <c r="O196" s="31"/>
      <c r="P196" s="2" t="s">
        <v>1355</v>
      </c>
      <c r="Q196" s="2"/>
      <c r="R196" s="18"/>
      <c r="S196" s="18"/>
      <c r="T196" s="18"/>
      <c r="U196" s="2" t="str" cm="1">
        <f t="array" ref="U196">_xlfn.TEXTJOIN(", ", TRUE, IF(Y196:CG196="X", $Y$3:$CG$3, ""))</f>
        <v/>
      </c>
      <c r="V196" s="18" t="str" cm="1">
        <f t="array" ref="V196">_xlfn.TEXTJOIN(", ", TRUE, IF(Y196:CG196="X", $Y$2:$CG$2, ""))</f>
        <v/>
      </c>
      <c r="W196" s="2" t="str" cm="1">
        <f t="array" ref="W196">_xlfn.TEXTJOIN(", ", TRUE, IF(CH196:CS196="X", $CH$3:$CS$3, ""))</f>
        <v/>
      </c>
      <c r="X196" s="2" t="str" cm="1">
        <f t="array" ref="X196">_xlfn.TEXTJOIN(", ", TRUE, IF(CT196:CX196="X", $CT$3:$CX$3, ""))</f>
        <v/>
      </c>
    </row>
    <row r="197" spans="1:98" ht="18.75" customHeight="1" x14ac:dyDescent="0.25">
      <c r="A197" s="8">
        <v>112</v>
      </c>
      <c r="B197" s="2" t="s">
        <v>1371</v>
      </c>
      <c r="C197" s="2" t="s">
        <v>1372</v>
      </c>
      <c r="D197" s="29" t="s">
        <v>1373</v>
      </c>
      <c r="E197" s="29" t="s">
        <v>1374</v>
      </c>
      <c r="F197" s="18">
        <v>23420</v>
      </c>
      <c r="G197" s="8">
        <f ca="1">DATEDIF(F197, TODAY(), "Y")</f>
        <v>62</v>
      </c>
      <c r="H197" s="2" t="s">
        <v>537</v>
      </c>
      <c r="I197" s="2" t="s">
        <v>1375</v>
      </c>
      <c r="J197" s="29"/>
      <c r="L197" s="1" t="s">
        <v>1376</v>
      </c>
      <c r="M197" s="30"/>
      <c r="N197" s="31"/>
      <c r="O197" s="35"/>
      <c r="P197" s="65" t="s">
        <v>1377</v>
      </c>
      <c r="Q197" s="65"/>
      <c r="R197" s="2" t="s">
        <v>1216</v>
      </c>
      <c r="S197" s="2"/>
      <c r="T197" s="2"/>
      <c r="U197" s="2" t="str" cm="1">
        <f t="array" ref="U197">_xlfn.TEXTJOIN(", ", TRUE, IF(Y197:CG197="X", $Y$3:$CG$3, ""))</f>
        <v/>
      </c>
      <c r="V197" s="18" t="str" cm="1">
        <f t="array" ref="V197">_xlfn.TEXTJOIN(", ", TRUE, IF(Y197:CG197="X", $Y$2:$CG$2, ""))</f>
        <v/>
      </c>
      <c r="W197" s="2" t="str" cm="1">
        <f t="array" ref="W197">_xlfn.TEXTJOIN(", ", TRUE, IF(CH197:CS197="X", $CH$3:$CS$3, ""))</f>
        <v>Bertatik Bertara</v>
      </c>
      <c r="X197" s="2" t="str" cm="1">
        <f t="array" ref="X197">_xlfn.TEXTJOIN(", ", TRUE, IF(CT197:CX197="X", $CT$3:$CX$3, ""))</f>
        <v/>
      </c>
      <c r="CR197" s="65" t="s">
        <v>764</v>
      </c>
    </row>
    <row r="198" spans="1:98" ht="18.75" customHeight="1" x14ac:dyDescent="0.25">
      <c r="A198" s="8">
        <v>113</v>
      </c>
      <c r="B198" s="2" t="s">
        <v>1378</v>
      </c>
      <c r="C198" s="2" t="s">
        <v>1379</v>
      </c>
      <c r="D198" s="29" t="s">
        <v>1380</v>
      </c>
      <c r="E198" s="29" t="s">
        <v>1381</v>
      </c>
      <c r="F198" s="18">
        <v>14522</v>
      </c>
      <c r="G198" s="8">
        <f ca="1">DATEDIF(F198, TODAY(), "Y")</f>
        <v>86</v>
      </c>
      <c r="H198" s="2" t="s">
        <v>537</v>
      </c>
      <c r="I198" s="2" t="s">
        <v>1382</v>
      </c>
      <c r="J198" s="29"/>
      <c r="L198" s="1">
        <v>672141993</v>
      </c>
      <c r="M198" s="30"/>
      <c r="N198" s="31"/>
      <c r="O198" s="31"/>
      <c r="P198" s="2" t="s">
        <v>1383</v>
      </c>
      <c r="Q198" s="2"/>
      <c r="R198" s="18"/>
      <c r="S198" s="18"/>
      <c r="T198" s="18"/>
      <c r="U198" s="2" t="str" cm="1">
        <f t="array" ref="U198">_xlfn.TEXTJOIN(", ", TRUE, IF(Y198:CG198="X", $Y$3:$CG$3, ""))</f>
        <v/>
      </c>
      <c r="V198" s="18" t="str" cm="1">
        <f t="array" ref="V198">_xlfn.TEXTJOIN(", ", TRUE, IF(Y198:CG198="X", $Y$2:$CG$2, ""))</f>
        <v/>
      </c>
      <c r="W198" s="2" t="str" cm="1">
        <f t="array" ref="W198">_xlfn.TEXTJOIN(", ", TRUE, IF(CH198:CS198="X", $CH$3:$CS$3, ""))</f>
        <v/>
      </c>
      <c r="X198" s="2" t="str" cm="1">
        <f t="array" ref="X198">_xlfn.TEXTJOIN(", ", TRUE, IF(CT198:CX198="X", $CT$3:$CX$3, ""))</f>
        <v/>
      </c>
      <c r="AJ198" s="49"/>
      <c r="CL198" s="49"/>
      <c r="CR198" s="49"/>
    </row>
    <row r="199" spans="1:98" ht="18.75" customHeight="1" x14ac:dyDescent="0.25">
      <c r="A199" s="8">
        <v>117</v>
      </c>
      <c r="B199" s="2" t="s">
        <v>1407</v>
      </c>
      <c r="C199" s="2" t="s">
        <v>1408</v>
      </c>
      <c r="D199" s="29" t="s">
        <v>1409</v>
      </c>
      <c r="E199" s="29" t="s">
        <v>1410</v>
      </c>
      <c r="F199" s="18">
        <v>16581</v>
      </c>
      <c r="G199" s="8">
        <f ca="1">DATEDIF(F199, TODAY(), "Y")</f>
        <v>81</v>
      </c>
      <c r="H199" s="2" t="s">
        <v>537</v>
      </c>
      <c r="I199" s="2" t="s">
        <v>1411</v>
      </c>
      <c r="J199" s="29"/>
      <c r="L199" s="1"/>
      <c r="M199" s="30"/>
      <c r="N199" s="31"/>
      <c r="O199" s="35"/>
      <c r="P199" s="82"/>
      <c r="Q199" s="82"/>
      <c r="R199" s="18"/>
      <c r="S199" s="18"/>
      <c r="T199" s="18"/>
      <c r="U199" s="2" t="str" cm="1">
        <f t="array" ref="U199">_xlfn.TEXTJOIN(", ", TRUE, IF(Y199:CG199="X", $Y$3:$CG$3, ""))</f>
        <v/>
      </c>
      <c r="V199" s="18" t="str" cm="1">
        <f t="array" ref="V199">_xlfn.TEXTJOIN(", ", TRUE, IF(Y199:CG199="X", $Y$2:$CG$2, ""))</f>
        <v/>
      </c>
      <c r="W199" s="2" t="str" cm="1">
        <f t="array" ref="W199">_xlfn.TEXTJOIN(", ", TRUE, IF(CH199:CS199="X", $CH$3:$CS$3, ""))</f>
        <v/>
      </c>
      <c r="X199" s="2" t="str" cm="1">
        <f t="array" ref="X199">_xlfn.TEXTJOIN(", ", TRUE, IF(CT199:CX199="X", $CT$3:$CX$3, ""))</f>
        <v/>
      </c>
      <c r="AJ199" s="82"/>
      <c r="CL199" s="82"/>
      <c r="CR199" s="82"/>
    </row>
    <row r="200" spans="1:98" ht="18.75" customHeight="1" x14ac:dyDescent="0.25">
      <c r="A200" s="8">
        <v>118</v>
      </c>
      <c r="B200" s="2" t="s">
        <v>1412</v>
      </c>
      <c r="C200" s="2" t="s">
        <v>1413</v>
      </c>
      <c r="D200" s="29" t="s">
        <v>1414</v>
      </c>
      <c r="E200" s="29" t="s">
        <v>1415</v>
      </c>
      <c r="F200" s="18">
        <v>30788</v>
      </c>
      <c r="G200" s="8">
        <f ca="1">DATEDIF(F200, TODAY(), "Y")</f>
        <v>42</v>
      </c>
      <c r="H200" s="2" t="s">
        <v>537</v>
      </c>
      <c r="I200" s="2" t="s">
        <v>1416</v>
      </c>
      <c r="J200" s="29"/>
      <c r="L200" s="1">
        <v>659551837</v>
      </c>
      <c r="M200" s="30"/>
      <c r="N200" s="31"/>
      <c r="O200" s="35"/>
      <c r="P200" s="65" t="s">
        <v>1417</v>
      </c>
      <c r="Q200" s="65"/>
      <c r="R200" s="18"/>
      <c r="S200" s="18"/>
      <c r="T200" s="18"/>
      <c r="U200" s="2" t="str" cm="1">
        <f t="array" ref="U200">_xlfn.TEXTJOIN(", ", TRUE, IF(Y200:CG200="X", $Y$3:$CG$3, ""))</f>
        <v/>
      </c>
      <c r="V200" s="18" t="str" cm="1">
        <f t="array" ref="V200">_xlfn.TEXTJOIN(", ", TRUE, IF(Y200:CG200="X", $Y$2:$CG$2, ""))</f>
        <v/>
      </c>
      <c r="W200" s="2" t="str" cm="1">
        <f t="array" ref="W200">_xlfn.TEXTJOIN(", ", TRUE, IF(CH200:CS200="X", $CH$3:$CS$3, ""))</f>
        <v/>
      </c>
      <c r="X200" s="2" t="str" cm="1">
        <f t="array" ref="X200">_xlfn.TEXTJOIN(", ", TRUE, IF(CT200:CX200="X", $CT$3:$CX$3, ""))</f>
        <v/>
      </c>
    </row>
    <row r="201" spans="1:98" ht="18.75" customHeight="1" x14ac:dyDescent="0.25">
      <c r="A201" s="8">
        <v>119</v>
      </c>
      <c r="B201" s="2" t="s">
        <v>1418</v>
      </c>
      <c r="C201" s="2" t="s">
        <v>1419</v>
      </c>
      <c r="D201" s="29" t="s">
        <v>1420</v>
      </c>
      <c r="E201" s="29" t="s">
        <v>1421</v>
      </c>
      <c r="F201" s="18">
        <v>24058</v>
      </c>
      <c r="G201" s="8">
        <f ca="1">DATEDIF(F201, TODAY(), "Y")</f>
        <v>60</v>
      </c>
      <c r="H201" s="2" t="s">
        <v>537</v>
      </c>
      <c r="I201" s="2" t="s">
        <v>1422</v>
      </c>
      <c r="J201" s="29"/>
      <c r="L201" s="1"/>
      <c r="M201" s="30"/>
      <c r="N201" s="31"/>
      <c r="O201" s="35"/>
      <c r="R201" s="18"/>
      <c r="S201" s="18"/>
      <c r="T201" s="18"/>
      <c r="U201" s="2" t="str" cm="1">
        <f t="array" ref="U201">_xlfn.TEXTJOIN(", ", TRUE, IF(Y201:CG201="X", $Y$3:$CG$3, ""))</f>
        <v/>
      </c>
      <c r="V201" s="18" t="str" cm="1">
        <f t="array" ref="V201">_xlfn.TEXTJOIN(", ", TRUE, IF(Y201:CG201="X", $Y$2:$CG$2, ""))</f>
        <v/>
      </c>
      <c r="W201" s="2" t="str" cm="1">
        <f t="array" ref="W201">_xlfn.TEXTJOIN(", ", TRUE, IF(CH201:CS201="X", $CH$3:$CS$3, ""))</f>
        <v/>
      </c>
      <c r="X201" s="2" t="str" cm="1">
        <f t="array" ref="X201">_xlfn.TEXTJOIN(", ", TRUE, IF(CT201:CX201="X", $CT$3:$CX$3, ""))</f>
        <v/>
      </c>
    </row>
    <row r="202" spans="1:98" ht="18.75" customHeight="1" x14ac:dyDescent="0.25">
      <c r="A202" s="8">
        <v>120</v>
      </c>
      <c r="B202" s="2" t="s">
        <v>1423</v>
      </c>
      <c r="C202" s="2" t="s">
        <v>1424</v>
      </c>
      <c r="D202" s="29" t="s">
        <v>1425</v>
      </c>
      <c r="E202" s="29" t="s">
        <v>1426</v>
      </c>
      <c r="F202" s="18">
        <v>28937</v>
      </c>
      <c r="G202" s="8">
        <f ca="1">DATEDIF(F202, TODAY(), "Y")</f>
        <v>47</v>
      </c>
      <c r="H202" s="2" t="s">
        <v>537</v>
      </c>
      <c r="I202" s="2" t="s">
        <v>1427</v>
      </c>
      <c r="J202" s="29"/>
      <c r="L202" s="1">
        <v>665716684</v>
      </c>
      <c r="M202" s="30"/>
      <c r="N202" s="31"/>
      <c r="O202" s="35"/>
      <c r="P202" s="65" t="s">
        <v>1428</v>
      </c>
      <c r="Q202" s="65"/>
      <c r="R202" s="67"/>
      <c r="S202" s="67"/>
      <c r="T202" s="67"/>
      <c r="U202" s="2" t="str" cm="1">
        <f t="array" ref="U202">_xlfn.TEXTJOIN(", ", TRUE, IF(Y202:CG202="X", $Y$3:$CG$3, ""))</f>
        <v/>
      </c>
      <c r="V202" s="18" t="str" cm="1">
        <f t="array" ref="V202">_xlfn.TEXTJOIN(", ", TRUE, IF(Y202:CG202="X", $Y$2:$CG$2, ""))</f>
        <v/>
      </c>
      <c r="W202" s="2" t="str" cm="1">
        <f t="array" ref="W202">_xlfn.TEXTJOIN(", ", TRUE, IF(CH202:CS202="X", $CH$3:$CS$3, ""))</f>
        <v/>
      </c>
      <c r="X202" s="2" t="str" cm="1">
        <f t="array" ref="X202">_xlfn.TEXTJOIN(", ", TRUE, IF(CT202:CX202="X", $CT$3:$CX$3, ""))</f>
        <v/>
      </c>
    </row>
    <row r="203" spans="1:98" ht="18.75" customHeight="1" x14ac:dyDescent="0.25">
      <c r="A203" s="8">
        <v>121</v>
      </c>
      <c r="B203" s="2" t="s">
        <v>1429</v>
      </c>
      <c r="C203" s="2" t="s">
        <v>1430</v>
      </c>
      <c r="D203" s="29" t="s">
        <v>1431</v>
      </c>
      <c r="E203" s="29" t="s">
        <v>1432</v>
      </c>
      <c r="F203" s="18">
        <v>21279</v>
      </c>
      <c r="G203" s="8">
        <f ca="1">DATEDIF(F203, TODAY(), "Y")</f>
        <v>68</v>
      </c>
      <c r="H203" s="2" t="s">
        <v>1433</v>
      </c>
      <c r="I203" s="2" t="s">
        <v>1434</v>
      </c>
      <c r="J203" s="29"/>
      <c r="L203" s="1">
        <v>680655421</v>
      </c>
      <c r="M203" s="30"/>
      <c r="N203" s="31"/>
      <c r="O203" s="35"/>
      <c r="P203" s="65" t="s">
        <v>1435</v>
      </c>
      <c r="Q203" s="65" t="s">
        <v>3020</v>
      </c>
      <c r="R203" s="18"/>
      <c r="S203" s="18"/>
      <c r="T203" s="18"/>
      <c r="U203" s="2" t="str" cm="1">
        <f t="array" ref="U203">_xlfn.TEXTJOIN(", ", TRUE, IF(Y203:CG203="X", $Y$3:$CG$3, ""))</f>
        <v>Fruta</v>
      </c>
      <c r="V203" s="18" t="str" cm="1">
        <f t="array" ref="V203">_xlfn.TEXTJOIN(", ", TRUE, IF(Y203:CG203="X", $Y$2:$CG$2, ""))</f>
        <v>FRUTA</v>
      </c>
      <c r="W203" s="2" t="str" cm="1">
        <f t="array" ref="W203">_xlfn.TEXTJOIN(", ", TRUE, IF(CH203:CS203="X", $CH$3:$CS$3, ""))</f>
        <v/>
      </c>
      <c r="X203" s="2" t="str" cm="1">
        <f t="array" ref="X203">_xlfn.TEXTJOIN(", ", TRUE, IF(CT203:CX203="X", $CT$3:$CX$3, ""))</f>
        <v>Ekologikoa</v>
      </c>
      <c r="BD203" s="65" t="s">
        <v>764</v>
      </c>
      <c r="CT203" s="65" t="s">
        <v>764</v>
      </c>
    </row>
    <row r="204" spans="1:98" ht="18.75" customHeight="1" x14ac:dyDescent="0.25">
      <c r="A204" s="8">
        <v>122</v>
      </c>
      <c r="B204" s="2" t="s">
        <v>1436</v>
      </c>
      <c r="C204" s="2" t="s">
        <v>1437</v>
      </c>
      <c r="D204" s="29" t="s">
        <v>1438</v>
      </c>
      <c r="E204" s="29" t="s">
        <v>1439</v>
      </c>
      <c r="F204" s="18">
        <v>31648</v>
      </c>
      <c r="G204" s="8">
        <f ca="1">DATEDIF(F204, TODAY(), "Y")</f>
        <v>39</v>
      </c>
      <c r="H204" s="2" t="s">
        <v>1433</v>
      </c>
      <c r="I204" s="2" t="s">
        <v>1440</v>
      </c>
      <c r="J204" s="29"/>
      <c r="L204" s="1">
        <v>634403067</v>
      </c>
      <c r="M204" s="30"/>
      <c r="N204" s="31"/>
      <c r="O204" s="35"/>
      <c r="P204" s="65" t="s">
        <v>1441</v>
      </c>
      <c r="Q204" s="65"/>
      <c r="R204" s="18"/>
      <c r="S204" s="18"/>
      <c r="T204" s="18"/>
      <c r="U204" s="2" t="str" cm="1">
        <f t="array" ref="U204">_xlfn.TEXTJOIN(", ", TRUE, IF(Y204:CG204="X", $Y$3:$CG$3, ""))</f>
        <v/>
      </c>
      <c r="V204" s="18" t="str" cm="1">
        <f t="array" ref="V204">_xlfn.TEXTJOIN(", ", TRUE, IF(Y204:CG204="X", $Y$2:$CG$2, ""))</f>
        <v/>
      </c>
      <c r="W204" s="2" t="str" cm="1">
        <f t="array" ref="W204">_xlfn.TEXTJOIN(", ", TRUE, IF(CH204:CS204="X", $CH$3:$CS$3, ""))</f>
        <v/>
      </c>
      <c r="X204" s="2" t="str" cm="1">
        <f t="array" ref="X204">_xlfn.TEXTJOIN(", ", TRUE, IF(CT204:CX204="X", $CT$3:$CX$3, ""))</f>
        <v/>
      </c>
    </row>
    <row r="205" spans="1:98" ht="18.75" customHeight="1" x14ac:dyDescent="0.25">
      <c r="A205" s="8">
        <v>123</v>
      </c>
      <c r="B205" s="2" t="s">
        <v>1442</v>
      </c>
      <c r="C205" s="2" t="s">
        <v>1443</v>
      </c>
      <c r="D205" s="29" t="s">
        <v>1444</v>
      </c>
      <c r="E205" s="29" t="s">
        <v>1445</v>
      </c>
      <c r="F205" s="18">
        <v>23040</v>
      </c>
      <c r="G205" s="8">
        <f ca="1">DATEDIF(F205, TODAY(), "Y")</f>
        <v>63</v>
      </c>
      <c r="H205" s="2" t="s">
        <v>1433</v>
      </c>
      <c r="I205" s="2" t="s">
        <v>1446</v>
      </c>
      <c r="J205" s="29"/>
      <c r="L205" s="1">
        <v>628295508</v>
      </c>
      <c r="M205" s="30"/>
      <c r="N205" s="31"/>
      <c r="O205" s="35"/>
      <c r="P205" s="65" t="s">
        <v>1447</v>
      </c>
      <c r="Q205" s="65"/>
      <c r="R205" s="18"/>
      <c r="S205" s="18"/>
      <c r="T205" s="18"/>
      <c r="U205" s="2" t="str" cm="1">
        <f t="array" ref="U205">_xlfn.TEXTJOIN(", ", TRUE, IF(Y205:CG205="X", $Y$3:$CG$3, ""))</f>
        <v/>
      </c>
      <c r="V205" s="18" t="str" cm="1">
        <f t="array" ref="V205">_xlfn.TEXTJOIN(", ", TRUE, IF(Y205:CG205="X", $Y$2:$CG$2, ""))</f>
        <v/>
      </c>
      <c r="W205" s="2" t="str" cm="1">
        <f t="array" ref="W205">_xlfn.TEXTJOIN(", ", TRUE, IF(CH205:CS205="X", $CH$3:$CS$3, ""))</f>
        <v/>
      </c>
      <c r="X205" s="2" t="str" cm="1">
        <f t="array" ref="X205">_xlfn.TEXTJOIN(", ", TRUE, IF(CT205:CX205="X", $CT$3:$CX$3, ""))</f>
        <v/>
      </c>
    </row>
    <row r="206" spans="1:98" ht="18.75" customHeight="1" x14ac:dyDescent="0.25">
      <c r="A206" s="8">
        <v>124</v>
      </c>
      <c r="B206" s="2" t="s">
        <v>1448</v>
      </c>
      <c r="C206" s="2" t="s">
        <v>1449</v>
      </c>
      <c r="D206" s="29" t="s">
        <v>1450</v>
      </c>
      <c r="E206" s="29" t="s">
        <v>1451</v>
      </c>
      <c r="F206" s="18">
        <v>30280</v>
      </c>
      <c r="G206" s="8">
        <f ca="1">DATEDIF(F206, TODAY(), "Y")</f>
        <v>43</v>
      </c>
      <c r="H206" s="2" t="s">
        <v>1452</v>
      </c>
      <c r="I206" s="2" t="s">
        <v>1453</v>
      </c>
      <c r="J206" s="29"/>
      <c r="L206" s="1">
        <v>685785265</v>
      </c>
      <c r="M206" s="30"/>
      <c r="N206" s="31"/>
      <c r="O206" s="31"/>
      <c r="P206" s="2" t="s">
        <v>1454</v>
      </c>
      <c r="Q206" s="29"/>
      <c r="R206" s="67"/>
      <c r="S206" s="67"/>
      <c r="T206" s="67"/>
      <c r="U206" s="2" t="str" cm="1">
        <f t="array" ref="U206">_xlfn.TEXTJOIN(", ", TRUE, IF(Y206:CG206="X", $Y$3:$CG$3, ""))</f>
        <v/>
      </c>
      <c r="V206" s="18" t="str" cm="1">
        <f t="array" ref="V206">_xlfn.TEXTJOIN(", ", TRUE, IF(Y206:CG206="X", $Y$2:$CG$2, ""))</f>
        <v/>
      </c>
      <c r="W206" s="2" t="str" cm="1">
        <f t="array" ref="W206">_xlfn.TEXTJOIN(", ", TRUE, IF(CH206:CS206="X", $CH$3:$CS$3, ""))</f>
        <v/>
      </c>
      <c r="X206" s="2" t="str" cm="1">
        <f t="array" ref="X206">_xlfn.TEXTJOIN(", ", TRUE, IF(CT206:CX206="X", $CT$3:$CX$3, ""))</f>
        <v/>
      </c>
    </row>
    <row r="207" spans="1:98" ht="18.75" customHeight="1" x14ac:dyDescent="0.25">
      <c r="A207" s="8">
        <v>125</v>
      </c>
      <c r="B207" s="2" t="s">
        <v>1455</v>
      </c>
      <c r="C207" s="2" t="s">
        <v>1456</v>
      </c>
      <c r="D207" s="29" t="s">
        <v>1457</v>
      </c>
      <c r="E207" s="29" t="s">
        <v>1458</v>
      </c>
      <c r="F207" s="18">
        <v>15073</v>
      </c>
      <c r="G207" s="8">
        <f ca="1">DATEDIF(F207, TODAY(), "Y")</f>
        <v>85</v>
      </c>
      <c r="H207" s="2" t="s">
        <v>1452</v>
      </c>
      <c r="I207" s="2" t="s">
        <v>1459</v>
      </c>
      <c r="J207" s="29"/>
      <c r="L207" s="1">
        <v>686315191</v>
      </c>
      <c r="M207" s="30"/>
      <c r="N207" s="31"/>
      <c r="O207" s="31"/>
      <c r="P207" s="2" t="s">
        <v>1460</v>
      </c>
      <c r="Q207" s="2"/>
      <c r="R207" s="18"/>
      <c r="S207" s="18"/>
      <c r="T207" s="18"/>
      <c r="U207" s="2" t="str" cm="1">
        <f t="array" ref="U207">_xlfn.TEXTJOIN(", ", TRUE, IF(Y207:CG207="X", $Y$3:$CG$3, ""))</f>
        <v/>
      </c>
      <c r="V207" s="18" t="str" cm="1">
        <f t="array" ref="V207">_xlfn.TEXTJOIN(", ", TRUE, IF(Y207:CG207="X", $Y$2:$CG$2, ""))</f>
        <v/>
      </c>
      <c r="W207" s="2" t="str" cm="1">
        <f t="array" ref="W207">_xlfn.TEXTJOIN(", ", TRUE, IF(CH207:CS207="X", $CH$3:$CS$3, ""))</f>
        <v/>
      </c>
      <c r="X207" s="2" t="str" cm="1">
        <f t="array" ref="X207">_xlfn.TEXTJOIN(", ", TRUE, IF(CT207:CX207="X", $CT$3:$CX$3, ""))</f>
        <v/>
      </c>
    </row>
    <row r="208" spans="1:98" ht="18.75" customHeight="1" x14ac:dyDescent="0.25">
      <c r="A208" s="8">
        <v>126</v>
      </c>
      <c r="B208" s="2" t="s">
        <v>1461</v>
      </c>
      <c r="C208" s="2" t="s">
        <v>1462</v>
      </c>
      <c r="D208" s="29" t="s">
        <v>1463</v>
      </c>
      <c r="E208" s="29" t="s">
        <v>1464</v>
      </c>
      <c r="F208" s="18">
        <v>21866</v>
      </c>
      <c r="G208" s="8">
        <f ca="1">DATEDIF(F208, TODAY(), "Y")</f>
        <v>66</v>
      </c>
      <c r="H208" s="2" t="s">
        <v>1452</v>
      </c>
      <c r="I208" s="2" t="s">
        <v>1465</v>
      </c>
      <c r="J208" s="29"/>
      <c r="L208" s="1">
        <v>663871106</v>
      </c>
      <c r="M208" s="30"/>
      <c r="N208" s="31"/>
      <c r="O208" s="31"/>
      <c r="P208" s="2" t="s">
        <v>1466</v>
      </c>
      <c r="Q208" s="2"/>
      <c r="R208" s="18"/>
      <c r="S208" s="18"/>
      <c r="T208" s="18"/>
      <c r="U208" s="2" t="str" cm="1">
        <f t="array" ref="U208">_xlfn.TEXTJOIN(", ", TRUE, IF(Y208:CG208="X", $Y$3:$CG$3, ""))</f>
        <v/>
      </c>
      <c r="V208" s="18" t="str" cm="1">
        <f t="array" ref="V208">_xlfn.TEXTJOIN(", ", TRUE, IF(Y208:CG208="X", $Y$2:$CG$2, ""))</f>
        <v/>
      </c>
      <c r="W208" s="2" t="str" cm="1">
        <f t="array" ref="W208">_xlfn.TEXTJOIN(", ", TRUE, IF(CH208:CS208="X", $CH$3:$CS$3, ""))</f>
        <v/>
      </c>
      <c r="X208" s="2" t="str" cm="1">
        <f t="array" ref="X208">_xlfn.TEXTJOIN(", ", TRUE, IF(CT208:CX208="X", $CT$3:$CX$3, ""))</f>
        <v/>
      </c>
    </row>
    <row r="209" spans="1:98" ht="18.75" customHeight="1" x14ac:dyDescent="0.25">
      <c r="A209" s="8">
        <v>127</v>
      </c>
      <c r="B209" s="2" t="s">
        <v>1467</v>
      </c>
      <c r="C209" s="2" t="s">
        <v>1468</v>
      </c>
      <c r="D209" s="29" t="s">
        <v>1469</v>
      </c>
      <c r="E209" s="29" t="s">
        <v>1470</v>
      </c>
      <c r="F209" s="18">
        <v>13998</v>
      </c>
      <c r="G209" s="8">
        <f ca="1">DATEDIF(F209, TODAY(), "Y")</f>
        <v>88</v>
      </c>
      <c r="H209" s="2" t="s">
        <v>1452</v>
      </c>
      <c r="I209" s="2" t="s">
        <v>1471</v>
      </c>
      <c r="J209" s="29"/>
      <c r="L209" s="1"/>
      <c r="M209" s="30"/>
      <c r="N209" s="31"/>
      <c r="O209" s="31"/>
      <c r="P209" s="49"/>
      <c r="Q209" s="49"/>
      <c r="R209" s="18"/>
      <c r="S209" s="18"/>
      <c r="T209" s="18"/>
      <c r="U209" s="2" t="str" cm="1">
        <f t="array" ref="U209">_xlfn.TEXTJOIN(", ", TRUE, IF(Y209:CG209="X", $Y$3:$CG$3, ""))</f>
        <v/>
      </c>
      <c r="V209" s="18" t="str" cm="1">
        <f t="array" ref="V209">_xlfn.TEXTJOIN(", ", TRUE, IF(Y209:CG209="X", $Y$2:$CG$2, ""))</f>
        <v/>
      </c>
      <c r="W209" s="2" t="str" cm="1">
        <f t="array" ref="W209">_xlfn.TEXTJOIN(", ", TRUE, IF(CH209:CS209="X", $CH$3:$CS$3, ""))</f>
        <v/>
      </c>
      <c r="X209" s="2" t="str" cm="1">
        <f t="array" ref="X209">_xlfn.TEXTJOIN(", ", TRUE, IF(CT209:CX209="X", $CT$3:$CX$3, ""))</f>
        <v/>
      </c>
    </row>
    <row r="210" spans="1:98" ht="18.75" customHeight="1" x14ac:dyDescent="0.25">
      <c r="A210" s="8">
        <v>128</v>
      </c>
      <c r="B210" s="2" t="s">
        <v>1467</v>
      </c>
      <c r="C210" s="2" t="s">
        <v>1468</v>
      </c>
      <c r="D210" s="29" t="s">
        <v>1469</v>
      </c>
      <c r="E210" s="29" t="s">
        <v>1470</v>
      </c>
      <c r="F210" s="18">
        <v>19221</v>
      </c>
      <c r="G210" s="8">
        <f ca="1">DATEDIF(F210, TODAY(), "Y")</f>
        <v>73</v>
      </c>
      <c r="H210" s="2" t="s">
        <v>1452</v>
      </c>
      <c r="I210" s="2" t="s">
        <v>890</v>
      </c>
      <c r="J210" s="29"/>
      <c r="L210" s="1"/>
      <c r="M210" s="30"/>
      <c r="N210" s="31"/>
      <c r="O210" s="31"/>
      <c r="P210" s="49"/>
      <c r="Q210" s="49"/>
      <c r="R210" s="18"/>
      <c r="S210" s="18"/>
      <c r="T210" s="18"/>
      <c r="U210" s="2" t="str" cm="1">
        <f t="array" ref="U210">_xlfn.TEXTJOIN(", ", TRUE, IF(Y210:CG210="X", $Y$3:$CG$3, ""))</f>
        <v/>
      </c>
      <c r="V210" s="18" t="str" cm="1">
        <f t="array" ref="V210">_xlfn.TEXTJOIN(", ", TRUE, IF(Y210:CG210="X", $Y$2:$CG$2, ""))</f>
        <v/>
      </c>
      <c r="W210" s="2" t="str" cm="1">
        <f t="array" ref="W210">_xlfn.TEXTJOIN(", ", TRUE, IF(CH210:CS210="X", $CH$3:$CS$3, ""))</f>
        <v/>
      </c>
      <c r="X210" s="2" t="str" cm="1">
        <f t="array" ref="X210">_xlfn.TEXTJOIN(", ", TRUE, IF(CT210:CX210="X", $CT$3:$CX$3, ""))</f>
        <v/>
      </c>
    </row>
    <row r="211" spans="1:98" ht="18.75" customHeight="1" x14ac:dyDescent="0.25">
      <c r="A211" s="8">
        <v>130</v>
      </c>
      <c r="B211" s="2" t="s">
        <v>1479</v>
      </c>
      <c r="C211" s="2" t="s">
        <v>1480</v>
      </c>
      <c r="D211" s="29" t="s">
        <v>1481</v>
      </c>
      <c r="E211" s="29" t="s">
        <v>1482</v>
      </c>
      <c r="F211" s="18">
        <v>19813</v>
      </c>
      <c r="G211" s="8">
        <f ca="1">DATEDIF(F211, TODAY(), "Y")</f>
        <v>72</v>
      </c>
      <c r="H211" s="2" t="s">
        <v>1452</v>
      </c>
      <c r="I211" s="2" t="s">
        <v>1483</v>
      </c>
      <c r="J211" s="29"/>
      <c r="L211" s="1">
        <v>671504813</v>
      </c>
      <c r="M211" s="30"/>
      <c r="N211" s="31"/>
      <c r="O211" s="35"/>
      <c r="P211" s="65" t="s">
        <v>1484</v>
      </c>
      <c r="Q211" s="65"/>
      <c r="R211" s="18"/>
      <c r="S211" s="18"/>
      <c r="T211" s="18"/>
      <c r="U211" s="2" t="str" cm="1">
        <f t="array" ref="U211">_xlfn.TEXTJOIN(", ", TRUE, IF(Y211:CG211="X", $Y$3:$CG$3, ""))</f>
        <v/>
      </c>
      <c r="V211" s="18" t="str" cm="1">
        <f t="array" ref="V211">_xlfn.TEXTJOIN(", ", TRUE, IF(Y211:CG211="X", $Y$2:$CG$2, ""))</f>
        <v/>
      </c>
      <c r="W211" s="2" t="str" cm="1">
        <f t="array" ref="W211">_xlfn.TEXTJOIN(", ", TRUE, IF(CH211:CS211="X", $CH$3:$CS$3, ""))</f>
        <v/>
      </c>
      <c r="X211" s="2" t="str" cm="1">
        <f t="array" ref="X211">_xlfn.TEXTJOIN(", ", TRUE, IF(CT211:CX211="X", $CT$3:$CX$3, ""))</f>
        <v/>
      </c>
    </row>
    <row r="212" spans="1:98" ht="18.75" customHeight="1" x14ac:dyDescent="0.25">
      <c r="A212" s="8">
        <v>131</v>
      </c>
      <c r="B212" s="2" t="s">
        <v>1485</v>
      </c>
      <c r="C212" s="2" t="s">
        <v>1486</v>
      </c>
      <c r="D212" s="29" t="s">
        <v>1487</v>
      </c>
      <c r="E212" s="29" t="s">
        <v>1488</v>
      </c>
      <c r="F212" s="18">
        <v>20626</v>
      </c>
      <c r="G212" s="8">
        <f ca="1">DATEDIF(F212, TODAY(), "Y")</f>
        <v>70</v>
      </c>
      <c r="H212" s="2" t="s">
        <v>1452</v>
      </c>
      <c r="I212" s="2" t="s">
        <v>1489</v>
      </c>
      <c r="J212" s="29"/>
      <c r="L212" s="1">
        <v>635751212</v>
      </c>
      <c r="M212" s="30"/>
      <c r="N212" s="31"/>
      <c r="O212" s="35"/>
      <c r="P212" s="65" t="s">
        <v>1490</v>
      </c>
      <c r="Q212" s="65"/>
      <c r="R212" s="18"/>
      <c r="S212" s="18"/>
      <c r="T212" s="18"/>
      <c r="U212" s="2" t="str" cm="1">
        <f t="array" ref="U212">_xlfn.TEXTJOIN(", ", TRUE, IF(Y212:CG212="X", $Y$3:$CG$3, ""))</f>
        <v/>
      </c>
      <c r="V212" s="18" t="str" cm="1">
        <f t="array" ref="V212">_xlfn.TEXTJOIN(", ", TRUE, IF(Y212:CG212="X", $Y$2:$CG$2, ""))</f>
        <v/>
      </c>
      <c r="W212" s="2" t="str" cm="1">
        <f t="array" ref="W212">_xlfn.TEXTJOIN(", ", TRUE, IF(CH212:CS212="X", $CH$3:$CS$3, ""))</f>
        <v/>
      </c>
      <c r="X212" s="2" t="str" cm="1">
        <f t="array" ref="X212">_xlfn.TEXTJOIN(", ", TRUE, IF(CT212:CX212="X", $CT$3:$CX$3, ""))</f>
        <v/>
      </c>
    </row>
    <row r="213" spans="1:98" ht="18.75" customHeight="1" x14ac:dyDescent="0.25">
      <c r="A213" s="8">
        <v>132</v>
      </c>
      <c r="B213" s="2" t="s">
        <v>1491</v>
      </c>
      <c r="C213" s="2" t="s">
        <v>1492</v>
      </c>
      <c r="D213" s="29" t="s">
        <v>1493</v>
      </c>
      <c r="E213" s="29" t="s">
        <v>1494</v>
      </c>
      <c r="F213" s="18">
        <v>10863</v>
      </c>
      <c r="G213" s="8">
        <f ca="1">DATEDIF(F213, TODAY(), "Y")</f>
        <v>96</v>
      </c>
      <c r="H213" s="2" t="s">
        <v>1452</v>
      </c>
      <c r="I213" s="2" t="s">
        <v>1495</v>
      </c>
      <c r="J213" s="29"/>
      <c r="L213" s="1">
        <v>697932026</v>
      </c>
      <c r="M213" s="30"/>
      <c r="N213" s="31"/>
      <c r="O213" s="35"/>
      <c r="P213" s="65" t="s">
        <v>1496</v>
      </c>
      <c r="Q213" s="65"/>
      <c r="R213" s="18"/>
      <c r="S213" s="18"/>
      <c r="T213" s="18"/>
      <c r="U213" s="2" t="str" cm="1">
        <f t="array" ref="U213">_xlfn.TEXTJOIN(", ", TRUE, IF(Y213:CG213="X", $Y$3:$CG$3, ""))</f>
        <v/>
      </c>
      <c r="V213" s="18" t="str" cm="1">
        <f t="array" ref="V213">_xlfn.TEXTJOIN(", ", TRUE, IF(Y213:CG213="X", $Y$2:$CG$2, ""))</f>
        <v/>
      </c>
      <c r="W213" s="2" t="str" cm="1">
        <f t="array" ref="W213">_xlfn.TEXTJOIN(", ", TRUE, IF(CH213:CS213="X", $CH$3:$CS$3, ""))</f>
        <v/>
      </c>
      <c r="X213" s="2" t="str" cm="1">
        <f t="array" ref="X213">_xlfn.TEXTJOIN(", ", TRUE, IF(CT213:CX213="X", $CT$3:$CX$3, ""))</f>
        <v/>
      </c>
    </row>
    <row r="214" spans="1:98" ht="18.75" customHeight="1" x14ac:dyDescent="0.25">
      <c r="A214" s="8">
        <v>133</v>
      </c>
      <c r="B214" s="2" t="s">
        <v>1497</v>
      </c>
      <c r="C214" s="2" t="s">
        <v>1498</v>
      </c>
      <c r="D214" s="29" t="s">
        <v>1499</v>
      </c>
      <c r="E214" s="29" t="s">
        <v>1500</v>
      </c>
      <c r="F214" s="18">
        <v>13122</v>
      </c>
      <c r="G214" s="8">
        <f ca="1">DATEDIF(F214, TODAY(), "Y")</f>
        <v>90</v>
      </c>
      <c r="H214" s="2" t="s">
        <v>1452</v>
      </c>
      <c r="I214" s="2" t="s">
        <v>1501</v>
      </c>
      <c r="J214" s="29"/>
      <c r="L214" s="1">
        <v>660759217</v>
      </c>
      <c r="M214" s="30"/>
      <c r="N214" s="31"/>
      <c r="O214" s="31"/>
      <c r="P214" s="2" t="s">
        <v>1502</v>
      </c>
      <c r="Q214" s="2"/>
      <c r="R214" s="18"/>
      <c r="S214" s="18"/>
      <c r="T214" s="18"/>
      <c r="U214" s="2" t="str" cm="1">
        <f t="array" ref="U214">_xlfn.TEXTJOIN(", ", TRUE, IF(Y214:CG214="X", $Y$3:$CG$3, ""))</f>
        <v/>
      </c>
      <c r="V214" s="18" t="str" cm="1">
        <f t="array" ref="V214">_xlfn.TEXTJOIN(", ", TRUE, IF(Y214:CG214="X", $Y$2:$CG$2, ""))</f>
        <v/>
      </c>
      <c r="W214" s="2" t="str" cm="1">
        <f t="array" ref="W214">_xlfn.TEXTJOIN(", ", TRUE, IF(CH214:CS214="X", $CH$3:$CS$3, ""))</f>
        <v/>
      </c>
      <c r="X214" s="2" t="str" cm="1">
        <f t="array" ref="X214">_xlfn.TEXTJOIN(", ", TRUE, IF(CT214:CX214="X", $CT$3:$CX$3, ""))</f>
        <v/>
      </c>
    </row>
    <row r="215" spans="1:98" ht="18.75" customHeight="1" x14ac:dyDescent="0.25">
      <c r="A215" s="8">
        <v>134</v>
      </c>
      <c r="B215" s="2" t="s">
        <v>1503</v>
      </c>
      <c r="C215" s="2" t="s">
        <v>1504</v>
      </c>
      <c r="D215" s="29" t="s">
        <v>1505</v>
      </c>
      <c r="E215" s="29" t="s">
        <v>1506</v>
      </c>
      <c r="F215" s="18"/>
      <c r="G215" s="8">
        <f ca="1">DATEDIF(F215, TODAY(), "Y")</f>
        <v>126</v>
      </c>
      <c r="H215" s="2" t="s">
        <v>1452</v>
      </c>
      <c r="I215" s="2" t="s">
        <v>1507</v>
      </c>
      <c r="J215" s="29"/>
      <c r="L215" s="1"/>
      <c r="M215" s="30"/>
      <c r="N215" s="31"/>
      <c r="O215" s="31"/>
      <c r="P215" s="49"/>
      <c r="Q215" s="49"/>
      <c r="R215" s="49"/>
      <c r="S215" s="49"/>
      <c r="T215" s="49"/>
      <c r="U215" s="2" t="str" cm="1">
        <f t="array" ref="U215">_xlfn.TEXTJOIN(", ", TRUE, IF(Y215:CG215="X", $Y$3:$CG$3, ""))</f>
        <v/>
      </c>
      <c r="V215" s="18" t="str" cm="1">
        <f t="array" ref="V215">_xlfn.TEXTJOIN(", ", TRUE, IF(Y215:CG215="X", $Y$2:$CG$2, ""))</f>
        <v/>
      </c>
      <c r="W215" s="2" t="str" cm="1">
        <f t="array" ref="W215">_xlfn.TEXTJOIN(", ", TRUE, IF(CH215:CS215="X", $CH$3:$CS$3, ""))</f>
        <v/>
      </c>
      <c r="X215" s="2" t="str" cm="1">
        <f t="array" ref="X215">_xlfn.TEXTJOIN(", ", TRUE, IF(CT215:CX215="X", $CT$3:$CX$3, ""))</f>
        <v/>
      </c>
    </row>
    <row r="216" spans="1:98" ht="18.75" customHeight="1" x14ac:dyDescent="0.25">
      <c r="A216" s="8">
        <v>135</v>
      </c>
      <c r="B216" s="2" t="s">
        <v>1508</v>
      </c>
      <c r="C216" s="2" t="s">
        <v>1509</v>
      </c>
      <c r="D216" s="29" t="s">
        <v>1510</v>
      </c>
      <c r="E216" s="29" t="s">
        <v>1511</v>
      </c>
      <c r="F216" s="18">
        <v>20906</v>
      </c>
      <c r="G216" s="8">
        <f ca="1">DATEDIF(F216, TODAY(), "Y")</f>
        <v>69</v>
      </c>
      <c r="H216" s="2" t="s">
        <v>1452</v>
      </c>
      <c r="I216" s="2" t="s">
        <v>1512</v>
      </c>
      <c r="J216" s="29"/>
      <c r="L216" s="1">
        <v>639362847</v>
      </c>
      <c r="M216" s="30"/>
      <c r="N216" s="31"/>
      <c r="O216" s="31"/>
      <c r="P216" s="2" t="s">
        <v>1513</v>
      </c>
      <c r="Q216" s="2"/>
      <c r="R216" s="18"/>
      <c r="S216" s="18"/>
      <c r="T216" s="18"/>
      <c r="U216" s="2" t="str" cm="1">
        <f t="array" ref="U216">_xlfn.TEXTJOIN(", ", TRUE, IF(Y216:CG216="X", $Y$3:$CG$3, ""))</f>
        <v/>
      </c>
      <c r="V216" s="18" t="str" cm="1">
        <f t="array" ref="V216">_xlfn.TEXTJOIN(", ", TRUE, IF(Y216:CG216="X", $Y$2:$CG$2, ""))</f>
        <v/>
      </c>
      <c r="W216" s="2" t="str" cm="1">
        <f t="array" ref="W216">_xlfn.TEXTJOIN(", ", TRUE, IF(CH216:CS216="X", $CH$3:$CS$3, ""))</f>
        <v/>
      </c>
      <c r="X216" s="2" t="str" cm="1">
        <f t="array" ref="X216">_xlfn.TEXTJOIN(", ", TRUE, IF(CT216:CX216="X", $CT$3:$CX$3, ""))</f>
        <v/>
      </c>
      <c r="Y216" s="49"/>
      <c r="AB216" s="49"/>
      <c r="AJ216" s="49"/>
      <c r="BD216" s="49"/>
      <c r="CT216" s="49"/>
    </row>
    <row r="217" spans="1:98" ht="18.75" customHeight="1" x14ac:dyDescent="0.25">
      <c r="A217" s="8">
        <v>136</v>
      </c>
      <c r="B217" s="2" t="s">
        <v>1514</v>
      </c>
      <c r="C217" s="2" t="s">
        <v>1515</v>
      </c>
      <c r="D217" s="29" t="s">
        <v>1516</v>
      </c>
      <c r="E217" s="29" t="s">
        <v>1517</v>
      </c>
      <c r="F217" s="18">
        <v>27730</v>
      </c>
      <c r="G217" s="8">
        <f ca="1">DATEDIF(F217, TODAY(), "Y")</f>
        <v>50</v>
      </c>
      <c r="H217" s="2" t="s">
        <v>1452</v>
      </c>
      <c r="I217" s="2" t="s">
        <v>1518</v>
      </c>
      <c r="J217" s="29"/>
      <c r="L217" s="1">
        <v>655702954</v>
      </c>
      <c r="M217" s="30"/>
      <c r="N217" s="31"/>
      <c r="O217" s="35"/>
      <c r="P217" s="65" t="s">
        <v>1519</v>
      </c>
      <c r="Q217" s="65"/>
      <c r="R217" s="18"/>
      <c r="S217" s="18"/>
      <c r="T217" s="18"/>
      <c r="U217" s="2" t="str" cm="1">
        <f t="array" ref="U217">_xlfn.TEXTJOIN(", ", TRUE, IF(Y217:CG217="X", $Y$3:$CG$3, ""))</f>
        <v/>
      </c>
      <c r="V217" s="18" t="str" cm="1">
        <f t="array" ref="V217">_xlfn.TEXTJOIN(", ", TRUE, IF(Y217:CG217="X", $Y$2:$CG$2, ""))</f>
        <v/>
      </c>
      <c r="W217" s="2" t="str" cm="1">
        <f t="array" ref="W217">_xlfn.TEXTJOIN(", ", TRUE, IF(CH217:CS217="X", $CH$3:$CS$3, ""))</f>
        <v/>
      </c>
      <c r="X217" s="2" t="str" cm="1">
        <f t="array" ref="X217">_xlfn.TEXTJOIN(", ", TRUE, IF(CT217:CX217="X", $CT$3:$CX$3, ""))</f>
        <v/>
      </c>
      <c r="Y217" s="82"/>
      <c r="AB217" s="82"/>
      <c r="AJ217" s="82"/>
      <c r="BD217" s="82"/>
      <c r="CT217" s="82"/>
    </row>
    <row r="218" spans="1:98" ht="18.75" customHeight="1" x14ac:dyDescent="0.25">
      <c r="A218" s="8">
        <v>138</v>
      </c>
      <c r="B218" s="2" t="s">
        <v>1521</v>
      </c>
      <c r="C218" s="2" t="s">
        <v>1522</v>
      </c>
      <c r="D218" s="29" t="s">
        <v>1523</v>
      </c>
      <c r="E218" s="29" t="s">
        <v>1524</v>
      </c>
      <c r="F218" s="18">
        <v>15414</v>
      </c>
      <c r="G218" s="8">
        <f ca="1">DATEDIF(F218, TODAY(), "Y")</f>
        <v>84</v>
      </c>
      <c r="H218" s="2" t="s">
        <v>1452</v>
      </c>
      <c r="I218" s="2" t="s">
        <v>1520</v>
      </c>
      <c r="J218" s="29"/>
      <c r="L218" s="1">
        <v>608772221</v>
      </c>
      <c r="M218" s="30"/>
      <c r="N218" s="31"/>
      <c r="O218" s="35"/>
      <c r="P218" s="65" t="s">
        <v>1525</v>
      </c>
      <c r="Q218" s="65"/>
      <c r="R218" s="18"/>
      <c r="S218" s="18"/>
      <c r="T218" s="18"/>
      <c r="U218" s="2" t="str" cm="1">
        <f t="array" ref="U218">_xlfn.TEXTJOIN(", ", TRUE, IF(Y218:CG218="X", $Y$3:$CG$3, ""))</f>
        <v/>
      </c>
      <c r="V218" s="18" t="str" cm="1">
        <f t="array" ref="V218">_xlfn.TEXTJOIN(", ", TRUE, IF(Y218:CG218="X", $Y$2:$CG$2, ""))</f>
        <v/>
      </c>
      <c r="W218" s="2" t="str" cm="1">
        <f t="array" ref="W218">_xlfn.TEXTJOIN(", ", TRUE, IF(CH218:CS218="X", $CH$3:$CS$3, ""))</f>
        <v/>
      </c>
      <c r="X218" s="2" t="str" cm="1">
        <f t="array" ref="X218">_xlfn.TEXTJOIN(", ", TRUE, IF(CT218:CX218="X", $CT$3:$CX$3, ""))</f>
        <v/>
      </c>
    </row>
    <row r="219" spans="1:98" ht="18.75" customHeight="1" x14ac:dyDescent="0.25">
      <c r="A219" s="8">
        <v>139</v>
      </c>
      <c r="B219" s="2" t="s">
        <v>1526</v>
      </c>
      <c r="C219" s="2" t="s">
        <v>1527</v>
      </c>
      <c r="D219" s="29" t="s">
        <v>1528</v>
      </c>
      <c r="E219" s="29" t="s">
        <v>1529</v>
      </c>
      <c r="F219" s="18">
        <v>30591</v>
      </c>
      <c r="G219" s="8">
        <f ca="1">DATEDIF(F219, TODAY(), "Y")</f>
        <v>42</v>
      </c>
      <c r="H219" s="2" t="s">
        <v>1452</v>
      </c>
      <c r="I219" s="2" t="s">
        <v>1530</v>
      </c>
      <c r="J219" s="29"/>
      <c r="L219" s="1">
        <v>670953808</v>
      </c>
      <c r="M219" s="30"/>
      <c r="N219" s="31"/>
      <c r="O219" s="35"/>
      <c r="P219" s="65" t="s">
        <v>1531</v>
      </c>
      <c r="Q219" s="65"/>
      <c r="R219" s="18"/>
      <c r="S219" s="18"/>
      <c r="T219" s="18"/>
      <c r="U219" s="2" t="str" cm="1">
        <f t="array" ref="U219">_xlfn.TEXTJOIN(", ", TRUE, IF(Y219:CG219="X", $Y$3:$CG$3, ""))</f>
        <v/>
      </c>
      <c r="V219" s="18" t="str" cm="1">
        <f t="array" ref="V219">_xlfn.TEXTJOIN(", ", TRUE, IF(Y219:CG219="X", $Y$2:$CG$2, ""))</f>
        <v/>
      </c>
      <c r="W219" s="2" t="str" cm="1">
        <f t="array" ref="W219">_xlfn.TEXTJOIN(", ", TRUE, IF(CH219:CS219="X", $CH$3:$CS$3, ""))</f>
        <v/>
      </c>
      <c r="X219" s="2" t="str" cm="1">
        <f t="array" ref="X219">_xlfn.TEXTJOIN(", ", TRUE, IF(CT219:CX219="X", $CT$3:$CX$3, ""))</f>
        <v/>
      </c>
    </row>
    <row r="220" spans="1:98" ht="18.75" customHeight="1" x14ac:dyDescent="0.25">
      <c r="A220" s="8">
        <v>141</v>
      </c>
      <c r="B220" s="2" t="s">
        <v>1539</v>
      </c>
      <c r="C220" s="2" t="s">
        <v>1540</v>
      </c>
      <c r="D220" s="29" t="s">
        <v>1541</v>
      </c>
      <c r="E220" s="29" t="s">
        <v>1542</v>
      </c>
      <c r="F220" s="18"/>
      <c r="G220" s="8">
        <f ca="1">DATEDIF(F220, TODAY(), "Y")</f>
        <v>126</v>
      </c>
      <c r="H220" s="2" t="s">
        <v>1452</v>
      </c>
      <c r="I220" s="2" t="s">
        <v>1543</v>
      </c>
      <c r="J220" s="29"/>
      <c r="L220" s="1">
        <v>689692047</v>
      </c>
      <c r="M220" s="30"/>
      <c r="N220" s="31"/>
      <c r="O220" s="31"/>
      <c r="P220" s="2" t="s">
        <v>1544</v>
      </c>
      <c r="Q220" s="2"/>
      <c r="R220" s="49"/>
      <c r="S220" s="49"/>
      <c r="T220" s="49"/>
      <c r="U220" s="2" t="str" cm="1">
        <f t="array" ref="U220">_xlfn.TEXTJOIN(", ", TRUE, IF(Y220:CG220="X", $Y$3:$CG$3, ""))</f>
        <v/>
      </c>
      <c r="V220" s="18" t="str" cm="1">
        <f t="array" ref="V220">_xlfn.TEXTJOIN(", ", TRUE, IF(Y220:CG220="X", $Y$2:$CG$2, ""))</f>
        <v/>
      </c>
      <c r="W220" s="2" t="str" cm="1">
        <f t="array" ref="W220">_xlfn.TEXTJOIN(", ", TRUE, IF(CH220:CS220="X", $CH$3:$CS$3, ""))</f>
        <v/>
      </c>
      <c r="X220" s="2" t="str" cm="1">
        <f t="array" ref="X220">_xlfn.TEXTJOIN(", ", TRUE, IF(CT220:CX220="X", $CT$3:$CX$3, ""))</f>
        <v/>
      </c>
    </row>
    <row r="221" spans="1:98" ht="18.75" customHeight="1" x14ac:dyDescent="0.25">
      <c r="A221" s="8">
        <v>142</v>
      </c>
      <c r="B221" s="2" t="s">
        <v>1545</v>
      </c>
      <c r="C221" s="2" t="s">
        <v>1546</v>
      </c>
      <c r="D221" s="29" t="s">
        <v>1547</v>
      </c>
      <c r="E221" s="29" t="s">
        <v>1548</v>
      </c>
      <c r="F221" s="18">
        <v>23766</v>
      </c>
      <c r="G221" s="8">
        <f ca="1">DATEDIF(F221, TODAY(), "Y")</f>
        <v>61</v>
      </c>
      <c r="H221" s="2" t="s">
        <v>1452</v>
      </c>
      <c r="I221" s="2" t="s">
        <v>1549</v>
      </c>
      <c r="J221" s="29"/>
      <c r="L221" s="1">
        <v>650411838</v>
      </c>
      <c r="M221" s="30"/>
      <c r="N221" s="31"/>
      <c r="O221" s="31"/>
      <c r="P221" s="2" t="s">
        <v>1550</v>
      </c>
      <c r="Q221" s="2"/>
      <c r="R221" s="18"/>
      <c r="S221" s="18"/>
      <c r="T221" s="18"/>
      <c r="U221" s="2" t="str" cm="1">
        <f t="array" ref="U221">_xlfn.TEXTJOIN(", ", TRUE, IF(Y221:CG221="X", $Y$3:$CG$3, ""))</f>
        <v/>
      </c>
      <c r="V221" s="18" t="str" cm="1">
        <f t="array" ref="V221">_xlfn.TEXTJOIN(", ", TRUE, IF(Y221:CG221="X", $Y$2:$CG$2, ""))</f>
        <v/>
      </c>
      <c r="W221" s="2" t="str" cm="1">
        <f t="array" ref="W221">_xlfn.TEXTJOIN(", ", TRUE, IF(CH221:CS221="X", $CH$3:$CS$3, ""))</f>
        <v/>
      </c>
      <c r="X221" s="2" t="str" cm="1">
        <f t="array" ref="X221">_xlfn.TEXTJOIN(", ", TRUE, IF(CT221:CX221="X", $CT$3:$CX$3, ""))</f>
        <v/>
      </c>
    </row>
    <row r="222" spans="1:98" ht="18.75" customHeight="1" x14ac:dyDescent="0.25">
      <c r="A222" s="8">
        <v>143</v>
      </c>
      <c r="B222" s="2" t="s">
        <v>1551</v>
      </c>
      <c r="C222" s="2" t="s">
        <v>1552</v>
      </c>
      <c r="D222" s="29" t="s">
        <v>1553</v>
      </c>
      <c r="E222" s="29" t="s">
        <v>1554</v>
      </c>
      <c r="F222" s="18">
        <v>18069</v>
      </c>
      <c r="G222" s="8">
        <f ca="1">DATEDIF(F222, TODAY(), "Y")</f>
        <v>77</v>
      </c>
      <c r="H222" s="2" t="s">
        <v>1452</v>
      </c>
      <c r="I222" s="2" t="s">
        <v>1555</v>
      </c>
      <c r="J222" s="29"/>
      <c r="L222" s="1">
        <v>639657702</v>
      </c>
      <c r="M222" s="30"/>
      <c r="N222" s="31"/>
      <c r="O222" s="31"/>
      <c r="P222" s="2" t="s">
        <v>1556</v>
      </c>
      <c r="Q222" s="2"/>
      <c r="R222" s="18"/>
      <c r="S222" s="18"/>
      <c r="T222" s="18"/>
      <c r="U222" s="2" t="str" cm="1">
        <f t="array" ref="U222">_xlfn.TEXTJOIN(", ", TRUE, IF(Y222:CG222="X", $Y$3:$CG$3, ""))</f>
        <v/>
      </c>
      <c r="V222" s="18" t="str" cm="1">
        <f t="array" ref="V222">_xlfn.TEXTJOIN(", ", TRUE, IF(Y222:CG222="X", $Y$2:$CG$2, ""))</f>
        <v/>
      </c>
      <c r="W222" s="2" t="str" cm="1">
        <f t="array" ref="W222">_xlfn.TEXTJOIN(", ", TRUE, IF(CH222:CS222="X", $CH$3:$CS$3, ""))</f>
        <v/>
      </c>
      <c r="X222" s="2" t="str" cm="1">
        <f t="array" ref="X222">_xlfn.TEXTJOIN(", ", TRUE, IF(CT222:CX222="X", $CT$3:$CX$3, ""))</f>
        <v/>
      </c>
    </row>
    <row r="223" spans="1:98" ht="18.75" customHeight="1" x14ac:dyDescent="0.25">
      <c r="A223" s="8">
        <v>144</v>
      </c>
      <c r="B223" s="2" t="s">
        <v>1557</v>
      </c>
      <c r="C223" s="2" t="s">
        <v>1558</v>
      </c>
      <c r="D223" s="29" t="s">
        <v>1559</v>
      </c>
      <c r="E223" s="29" t="s">
        <v>1560</v>
      </c>
      <c r="F223" s="18">
        <v>20062</v>
      </c>
      <c r="G223" s="8">
        <f ca="1">DATEDIF(F223, TODAY(), "Y")</f>
        <v>71</v>
      </c>
      <c r="H223" s="2" t="s">
        <v>1561</v>
      </c>
      <c r="I223" s="2" t="s">
        <v>1562</v>
      </c>
      <c r="J223" s="29"/>
      <c r="L223" s="1">
        <v>606524176</v>
      </c>
      <c r="M223" s="30"/>
      <c r="N223" s="31"/>
      <c r="O223" s="35"/>
      <c r="P223" s="65" t="s">
        <v>1563</v>
      </c>
      <c r="Q223" s="65"/>
      <c r="R223" s="18"/>
      <c r="S223" s="18"/>
      <c r="T223" s="18"/>
      <c r="U223" s="2" t="str" cm="1">
        <f t="array" ref="U223">_xlfn.TEXTJOIN(", ", TRUE, IF(Y223:CG223="X", $Y$3:$CG$3, ""))</f>
        <v/>
      </c>
      <c r="V223" s="18" t="str" cm="1">
        <f t="array" ref="V223">_xlfn.TEXTJOIN(", ", TRUE, IF(Y223:CG223="X", $Y$2:$CG$2, ""))</f>
        <v/>
      </c>
      <c r="W223" s="2" t="str" cm="1">
        <f t="array" ref="W223">_xlfn.TEXTJOIN(", ", TRUE, IF(CH223:CS223="X", $CH$3:$CS$3, ""))</f>
        <v/>
      </c>
      <c r="X223" s="2" t="str" cm="1">
        <f t="array" ref="X223">_xlfn.TEXTJOIN(", ", TRUE, IF(CT223:CX223="X", $CT$3:$CX$3, ""))</f>
        <v/>
      </c>
    </row>
    <row r="224" spans="1:98" ht="18.75" customHeight="1" x14ac:dyDescent="0.25">
      <c r="A224" s="8">
        <v>145</v>
      </c>
      <c r="B224" s="2" t="s">
        <v>1564</v>
      </c>
      <c r="C224" s="2" t="s">
        <v>1565</v>
      </c>
      <c r="D224" s="29" t="s">
        <v>1566</v>
      </c>
      <c r="E224" s="29" t="s">
        <v>1567</v>
      </c>
      <c r="F224" s="18">
        <v>25563</v>
      </c>
      <c r="G224" s="8">
        <f ca="1">DATEDIF(F224, TODAY(), "Y")</f>
        <v>56</v>
      </c>
      <c r="H224" s="2" t="s">
        <v>1561</v>
      </c>
      <c r="I224" s="2" t="s">
        <v>1568</v>
      </c>
      <c r="J224" s="29"/>
      <c r="L224" s="1">
        <v>688651528</v>
      </c>
      <c r="M224" s="30"/>
      <c r="N224" s="31"/>
      <c r="O224" s="31"/>
      <c r="P224" s="2" t="s">
        <v>1569</v>
      </c>
      <c r="Q224" s="2"/>
      <c r="R224" s="18"/>
      <c r="S224" s="18"/>
      <c r="T224" s="18"/>
      <c r="U224" s="2" t="str" cm="1">
        <f t="array" ref="U224">_xlfn.TEXTJOIN(", ", TRUE, IF(Y224:CG224="X", $Y$3:$CG$3, ""))</f>
        <v/>
      </c>
      <c r="V224" s="18" t="str" cm="1">
        <f t="array" ref="V224">_xlfn.TEXTJOIN(", ", TRUE, IF(Y224:CG224="X", $Y$2:$CG$2, ""))</f>
        <v/>
      </c>
      <c r="W224" s="2" t="str" cm="1">
        <f t="array" ref="W224">_xlfn.TEXTJOIN(", ", TRUE, IF(CH224:CS224="X", $CH$3:$CS$3, ""))</f>
        <v/>
      </c>
      <c r="X224" s="2" t="str" cm="1">
        <f t="array" ref="X224">_xlfn.TEXTJOIN(", ", TRUE, IF(CT224:CX224="X", $CT$3:$CX$3, ""))</f>
        <v/>
      </c>
    </row>
    <row r="225" spans="1:102" ht="18.75" customHeight="1" x14ac:dyDescent="0.25">
      <c r="A225" s="8">
        <v>146</v>
      </c>
      <c r="B225" s="2" t="s">
        <v>1570</v>
      </c>
      <c r="C225" s="2" t="s">
        <v>1571</v>
      </c>
      <c r="D225" s="29" t="s">
        <v>1572</v>
      </c>
      <c r="E225" s="29" t="s">
        <v>1573</v>
      </c>
      <c r="F225" s="18"/>
      <c r="G225" s="8">
        <f ca="1">DATEDIF(F225, TODAY(), "Y")</f>
        <v>126</v>
      </c>
      <c r="H225" s="2" t="s">
        <v>1561</v>
      </c>
      <c r="I225" s="2" t="s">
        <v>1574</v>
      </c>
      <c r="J225" s="29"/>
      <c r="L225" s="1">
        <v>689048655</v>
      </c>
      <c r="M225" s="30"/>
      <c r="N225" s="31"/>
      <c r="O225" s="31"/>
      <c r="P225" s="2" t="s">
        <v>1575</v>
      </c>
      <c r="Q225" s="2"/>
      <c r="R225" s="49"/>
      <c r="S225" s="49"/>
      <c r="T225" s="49"/>
      <c r="U225" s="2" t="str" cm="1">
        <f t="array" ref="U225">_xlfn.TEXTJOIN(", ", TRUE, IF(Y225:CG225="X", $Y$3:$CG$3, ""))</f>
        <v>Ardi haragia</v>
      </c>
      <c r="V225" s="18" t="str" cm="1">
        <f t="array" ref="V225">_xlfn.TEXTJOIN(", ", TRUE, IF(Y225:CG225="X", $Y$2:$CG$2, ""))</f>
        <v>HARAGIA</v>
      </c>
      <c r="W225" s="2" t="str" cm="1">
        <f t="array" ref="W225">_xlfn.TEXTJOIN(", ", TRUE, IF(CH225:CS225="X", $CH$3:$CS$3, ""))</f>
        <v/>
      </c>
      <c r="X225" s="2" t="str" cm="1">
        <f t="array" ref="X225">_xlfn.TEXTJOIN(", ", TRUE, IF(CT225:CX225="X", $CT$3:$CX$3, ""))</f>
        <v/>
      </c>
      <c r="AK225" s="3" t="s">
        <v>764</v>
      </c>
    </row>
    <row r="226" spans="1:102" ht="18.75" customHeight="1" x14ac:dyDescent="0.25">
      <c r="A226" s="8">
        <v>147</v>
      </c>
      <c r="B226" s="2" t="s">
        <v>1576</v>
      </c>
      <c r="C226" s="2" t="s">
        <v>1577</v>
      </c>
      <c r="D226" s="29" t="s">
        <v>1578</v>
      </c>
      <c r="E226" s="29" t="s">
        <v>1579</v>
      </c>
      <c r="F226" s="18">
        <v>10819</v>
      </c>
      <c r="G226" s="8">
        <f ca="1">DATEDIF(F226, TODAY(), "Y")</f>
        <v>96</v>
      </c>
      <c r="H226" s="2" t="s">
        <v>1561</v>
      </c>
      <c r="I226" s="2" t="s">
        <v>1580</v>
      </c>
      <c r="J226" s="29"/>
      <c r="L226" s="1">
        <v>667066485</v>
      </c>
      <c r="M226" s="30"/>
      <c r="N226" s="31"/>
      <c r="O226" s="31"/>
      <c r="P226" s="2" t="s">
        <v>1581</v>
      </c>
      <c r="Q226" s="29"/>
      <c r="R226" s="67"/>
      <c r="S226" s="67"/>
      <c r="T226" s="67"/>
      <c r="U226" s="2" t="str" cm="1">
        <f t="array" ref="U226">_xlfn.TEXTJOIN(", ", TRUE, IF(Y226:CG226="X", $Y$3:$CG$3, ""))</f>
        <v/>
      </c>
      <c r="V226" s="18" t="str" cm="1">
        <f t="array" ref="V226">_xlfn.TEXTJOIN(", ", TRUE, IF(Y226:CG226="X", $Y$2:$CG$2, ""))</f>
        <v/>
      </c>
      <c r="W226" s="2" t="str" cm="1">
        <f t="array" ref="W226">_xlfn.TEXTJOIN(", ", TRUE, IF(CH226:CS226="X", $CH$3:$CS$3, ""))</f>
        <v/>
      </c>
      <c r="X226" s="2" t="str" cm="1">
        <f t="array" ref="X226">_xlfn.TEXTJOIN(", ", TRUE, IF(CT226:CX226="X", $CT$3:$CX$3, ""))</f>
        <v/>
      </c>
    </row>
    <row r="227" spans="1:102" ht="18.75" customHeight="1" x14ac:dyDescent="0.25">
      <c r="A227" s="8">
        <v>148</v>
      </c>
      <c r="B227" s="2" t="s">
        <v>1582</v>
      </c>
      <c r="C227" s="2" t="s">
        <v>1583</v>
      </c>
      <c r="D227" s="29" t="s">
        <v>1584</v>
      </c>
      <c r="E227" s="29" t="s">
        <v>1585</v>
      </c>
      <c r="F227" s="18">
        <v>12070</v>
      </c>
      <c r="G227" s="8">
        <f ca="1">DATEDIF(F227, TODAY(), "Y")</f>
        <v>93</v>
      </c>
      <c r="H227" s="2" t="s">
        <v>1561</v>
      </c>
      <c r="I227" s="2" t="s">
        <v>1586</v>
      </c>
      <c r="J227" s="29"/>
      <c r="L227" s="1">
        <v>615756533</v>
      </c>
      <c r="M227" s="30"/>
      <c r="N227" s="77"/>
      <c r="O227" s="31"/>
      <c r="P227" s="2" t="s">
        <v>1587</v>
      </c>
      <c r="Q227" s="2"/>
      <c r="R227" s="18"/>
      <c r="S227" s="18"/>
      <c r="T227" s="18"/>
      <c r="U227" s="2" t="str" cm="1">
        <f t="array" ref="U227">_xlfn.TEXTJOIN(", ", TRUE, IF(Y227:CG227="X", $Y$3:$CG$3, ""))</f>
        <v/>
      </c>
      <c r="V227" s="18" t="str" cm="1">
        <f t="array" ref="V227">_xlfn.TEXTJOIN(", ", TRUE, IF(Y227:CG227="X", $Y$2:$CG$2, ""))</f>
        <v/>
      </c>
      <c r="W227" s="2" t="str" cm="1">
        <f t="array" ref="W227">_xlfn.TEXTJOIN(", ", TRUE, IF(CH227:CS227="X", $CH$3:$CS$3, ""))</f>
        <v/>
      </c>
      <c r="X227" s="2" t="str" cm="1">
        <f t="array" ref="X227">_xlfn.TEXTJOIN(", ", TRUE, IF(CT227:CX227="X", $CT$3:$CX$3, ""))</f>
        <v/>
      </c>
      <c r="Y227" s="49"/>
      <c r="AC227" s="49"/>
      <c r="AJ227" s="49"/>
      <c r="AS227" s="49"/>
      <c r="CT227" s="49"/>
    </row>
    <row r="228" spans="1:102" ht="18.75" customHeight="1" x14ac:dyDescent="0.25">
      <c r="A228" s="8">
        <v>149</v>
      </c>
      <c r="B228" s="2" t="s">
        <v>1588</v>
      </c>
      <c r="C228" s="2" t="s">
        <v>1589</v>
      </c>
      <c r="D228" s="29" t="s">
        <v>1590</v>
      </c>
      <c r="E228" s="29" t="s">
        <v>1591</v>
      </c>
      <c r="F228" s="18">
        <v>23168</v>
      </c>
      <c r="G228" s="8">
        <f ca="1">DATEDIF(F228, TODAY(), "Y")</f>
        <v>63</v>
      </c>
      <c r="H228" s="2" t="s">
        <v>464</v>
      </c>
      <c r="I228" s="2" t="s">
        <v>1174</v>
      </c>
      <c r="J228" s="29"/>
      <c r="K228" s="3" t="s">
        <v>1593</v>
      </c>
      <c r="L228" s="1">
        <v>658759470</v>
      </c>
      <c r="M228" s="30"/>
      <c r="N228" s="77"/>
      <c r="O228" s="31"/>
      <c r="P228" s="2" t="s">
        <v>1592</v>
      </c>
      <c r="Q228" s="2"/>
      <c r="R228" s="18"/>
      <c r="S228" s="18"/>
      <c r="T228" s="18"/>
      <c r="U228" s="2" t="str" cm="1">
        <f t="array" ref="U228">_xlfn.TEXTJOIN(", ", TRUE, IF(Y228:CG228="X", $Y$3:$CG$3, ""))</f>
        <v/>
      </c>
      <c r="V228" s="18" t="str" cm="1">
        <f t="array" ref="V228">_xlfn.TEXTJOIN(", ", TRUE, IF(Y228:CG228="X", $Y$2:$CG$2, ""))</f>
        <v/>
      </c>
      <c r="W228" s="2" t="str" cm="1">
        <f t="array" ref="W228">_xlfn.TEXTJOIN(", ", TRUE, IF(CH228:CS228="X", $CH$3:$CS$3, ""))</f>
        <v/>
      </c>
      <c r="X228" s="2" t="str" cm="1">
        <f t="array" ref="X228">_xlfn.TEXTJOIN(", ", TRUE, IF(CT228:CX228="X", $CT$3:$CX$3, ""))</f>
        <v/>
      </c>
      <c r="Y228" s="82"/>
      <c r="AC228" s="82"/>
      <c r="AJ228" s="82"/>
      <c r="AS228" s="82"/>
      <c r="CC228" s="49"/>
      <c r="CE228" s="49"/>
      <c r="CT228" s="49"/>
    </row>
    <row r="229" spans="1:102" ht="18.75" customHeight="1" x14ac:dyDescent="0.25">
      <c r="A229" s="8">
        <v>151</v>
      </c>
      <c r="B229" s="2" t="s">
        <v>1588</v>
      </c>
      <c r="C229" s="2" t="s">
        <v>1589</v>
      </c>
      <c r="D229" s="29" t="s">
        <v>1590</v>
      </c>
      <c r="E229" s="29" t="s">
        <v>1591</v>
      </c>
      <c r="F229" s="18">
        <v>29449</v>
      </c>
      <c r="G229" s="8">
        <f ca="1">DATEDIF(F229, TODAY(), "Y")</f>
        <v>45</v>
      </c>
      <c r="H229" s="2" t="s">
        <v>464</v>
      </c>
      <c r="I229" s="2" t="s">
        <v>1594</v>
      </c>
      <c r="J229" s="29"/>
      <c r="L229" s="1">
        <v>686999492</v>
      </c>
      <c r="M229" s="30"/>
      <c r="N229" s="31"/>
      <c r="O229" s="31"/>
      <c r="P229" s="2" t="s">
        <v>1595</v>
      </c>
      <c r="Q229" s="2"/>
      <c r="R229" s="18"/>
      <c r="S229" s="18"/>
      <c r="T229" s="18"/>
      <c r="U229" s="2" t="str" cm="1">
        <f t="array" ref="U229">_xlfn.TEXTJOIN(", ", TRUE, IF(Y229:CG229="X", $Y$3:$CG$3, ""))</f>
        <v/>
      </c>
      <c r="V229" s="18" t="str" cm="1">
        <f t="array" ref="V229">_xlfn.TEXTJOIN(", ", TRUE, IF(Y229:CG229="X", $Y$2:$CG$2, ""))</f>
        <v/>
      </c>
      <c r="W229" s="2" t="str" cm="1">
        <f t="array" ref="W229">_xlfn.TEXTJOIN(", ", TRUE, IF(CH229:CS229="X", $CH$3:$CS$3, ""))</f>
        <v/>
      </c>
      <c r="X229" s="2" t="str" cm="1">
        <f t="array" ref="X229">_xlfn.TEXTJOIN(", ", TRUE, IF(CT229:CX229="X", $CT$3:$CX$3, ""))</f>
        <v/>
      </c>
      <c r="CC229" s="82"/>
      <c r="CE229" s="82"/>
      <c r="CT229" s="82"/>
    </row>
    <row r="230" spans="1:102" ht="18.75" customHeight="1" x14ac:dyDescent="0.25">
      <c r="A230" s="8">
        <v>154</v>
      </c>
      <c r="B230" s="2" t="s">
        <v>1608</v>
      </c>
      <c r="C230" s="2" t="s">
        <v>1609</v>
      </c>
      <c r="D230" s="29" t="s">
        <v>1610</v>
      </c>
      <c r="E230" s="29" t="s">
        <v>1611</v>
      </c>
      <c r="F230" s="18">
        <v>9609</v>
      </c>
      <c r="G230" s="8">
        <f ca="1">DATEDIF(F230, TODAY(), "Y")</f>
        <v>100</v>
      </c>
      <c r="H230" s="2" t="s">
        <v>464</v>
      </c>
      <c r="I230" s="2" t="s">
        <v>1612</v>
      </c>
      <c r="J230" s="29"/>
      <c r="L230" s="1"/>
      <c r="M230" s="30"/>
      <c r="N230" s="31"/>
      <c r="O230" s="31"/>
      <c r="P230" s="49"/>
      <c r="Q230" s="38"/>
      <c r="R230" s="67"/>
      <c r="S230" s="67"/>
      <c r="T230" s="67"/>
      <c r="U230" s="2" t="str" cm="1">
        <f t="array" ref="U230">_xlfn.TEXTJOIN(", ", TRUE, IF(Y230:CG230="X", $Y$3:$CG$3, ""))</f>
        <v/>
      </c>
      <c r="V230" s="18" t="str" cm="1">
        <f t="array" ref="V230">_xlfn.TEXTJOIN(", ", TRUE, IF(Y230:CG230="X", $Y$2:$CG$2, ""))</f>
        <v/>
      </c>
      <c r="W230" s="2" t="str" cm="1">
        <f t="array" ref="W230">_xlfn.TEXTJOIN(", ", TRUE, IF(CH230:CS230="X", $CH$3:$CS$3, ""))</f>
        <v/>
      </c>
      <c r="X230" s="2" t="str" cm="1">
        <f t="array" ref="X230">_xlfn.TEXTJOIN(", ", TRUE, IF(CT230:CX230="X", $CT$3:$CX$3, ""))</f>
        <v/>
      </c>
      <c r="AC230" s="49"/>
      <c r="CW230" s="49"/>
      <c r="CX230" s="49"/>
    </row>
    <row r="231" spans="1:102" ht="18.75" customHeight="1" x14ac:dyDescent="0.25">
      <c r="A231" s="8">
        <v>155</v>
      </c>
      <c r="B231" s="2" t="s">
        <v>1613</v>
      </c>
      <c r="C231" s="2" t="s">
        <v>1614</v>
      </c>
      <c r="D231" s="29" t="s">
        <v>1615</v>
      </c>
      <c r="E231" s="29" t="s">
        <v>1616</v>
      </c>
      <c r="F231" s="18">
        <v>25109</v>
      </c>
      <c r="G231" s="8">
        <f ca="1">DATEDIF(F231, TODAY(), "Y")</f>
        <v>57</v>
      </c>
      <c r="H231" s="2" t="s">
        <v>464</v>
      </c>
      <c r="I231" s="2" t="s">
        <v>1617</v>
      </c>
      <c r="J231" s="29"/>
      <c r="L231" s="1">
        <v>609741510</v>
      </c>
      <c r="M231" s="30"/>
      <c r="N231" s="31"/>
      <c r="O231" s="31"/>
      <c r="P231" s="2" t="s">
        <v>1618</v>
      </c>
      <c r="Q231" s="2"/>
      <c r="R231" s="18"/>
      <c r="S231" s="18"/>
      <c r="T231" s="18"/>
      <c r="U231" s="2" t="str" cm="1">
        <f t="array" ref="U231">_xlfn.TEXTJOIN(", ", TRUE, IF(Y231:CG231="X", $Y$3:$CG$3, ""))</f>
        <v/>
      </c>
      <c r="V231" s="18" t="str" cm="1">
        <f t="array" ref="V231">_xlfn.TEXTJOIN(", ", TRUE, IF(Y231:CG231="X", $Y$2:$CG$2, ""))</f>
        <v/>
      </c>
      <c r="W231" s="2" t="str" cm="1">
        <f t="array" ref="W231">_xlfn.TEXTJOIN(", ", TRUE, IF(CH231:CS231="X", $CH$3:$CS$3, ""))</f>
        <v/>
      </c>
      <c r="X231" s="2" t="str" cm="1">
        <f t="array" ref="X231">_xlfn.TEXTJOIN(", ", TRUE, IF(CT231:CX231="X", $CT$3:$CX$3, ""))</f>
        <v/>
      </c>
      <c r="AC231" s="82"/>
      <c r="CW231" s="82"/>
      <c r="CX231" s="82"/>
    </row>
    <row r="232" spans="1:102" ht="18.75" customHeight="1" x14ac:dyDescent="0.25">
      <c r="A232" s="8">
        <v>157</v>
      </c>
      <c r="B232" s="2" t="s">
        <v>1627</v>
      </c>
      <c r="C232" s="2" t="s">
        <v>1628</v>
      </c>
      <c r="D232" s="29" t="s">
        <v>1629</v>
      </c>
      <c r="E232" s="29" t="s">
        <v>1630</v>
      </c>
      <c r="F232" s="18">
        <v>26760</v>
      </c>
      <c r="G232" s="8">
        <f ca="1">DATEDIF(F232, TODAY(), "Y")</f>
        <v>53</v>
      </c>
      <c r="H232" s="2" t="s">
        <v>464</v>
      </c>
      <c r="I232" s="2" t="s">
        <v>1331</v>
      </c>
      <c r="J232" s="29"/>
      <c r="L232" s="1">
        <v>676511694</v>
      </c>
      <c r="M232" s="30"/>
      <c r="N232" s="31"/>
      <c r="O232" s="35"/>
      <c r="P232" s="65" t="s">
        <v>1631</v>
      </c>
      <c r="Q232" s="65"/>
      <c r="R232" s="18"/>
      <c r="S232" s="18"/>
      <c r="T232" s="18"/>
      <c r="U232" s="2" t="str" cm="1">
        <f t="array" ref="U232">_xlfn.TEXTJOIN(", ", TRUE, IF(Y232:CG232="X", $Y$3:$CG$3, ""))</f>
        <v/>
      </c>
      <c r="V232" s="18" t="str" cm="1">
        <f t="array" ref="V232">_xlfn.TEXTJOIN(", ", TRUE, IF(Y232:CG232="X", $Y$2:$CG$2, ""))</f>
        <v/>
      </c>
      <c r="W232" s="2" t="str" cm="1">
        <f t="array" ref="W232">_xlfn.TEXTJOIN(", ", TRUE, IF(CH232:CS232="X", $CH$3:$CS$3, ""))</f>
        <v/>
      </c>
      <c r="X232" s="2" t="str" cm="1">
        <f t="array" ref="X232">_xlfn.TEXTJOIN(", ", TRUE, IF(CT232:CX232="X", $CT$3:$CX$3, ""))</f>
        <v/>
      </c>
      <c r="AW232" s="49"/>
    </row>
    <row r="233" spans="1:102" ht="18.75" customHeight="1" x14ac:dyDescent="0.25">
      <c r="A233" s="8">
        <v>158</v>
      </c>
      <c r="B233" s="2" t="s">
        <v>1632</v>
      </c>
      <c r="C233" s="2" t="s">
        <v>1633</v>
      </c>
      <c r="D233" s="29" t="s">
        <v>1634</v>
      </c>
      <c r="E233" s="29" t="s">
        <v>1635</v>
      </c>
      <c r="F233" s="18">
        <v>23347</v>
      </c>
      <c r="G233" s="8">
        <f ca="1">DATEDIF(F233, TODAY(), "Y")</f>
        <v>62</v>
      </c>
      <c r="H233" s="2" t="s">
        <v>464</v>
      </c>
      <c r="I233" s="2" t="s">
        <v>1636</v>
      </c>
      <c r="J233" s="29"/>
      <c r="L233" s="1">
        <v>615788642</v>
      </c>
      <c r="M233" s="30"/>
      <c r="N233" s="31"/>
      <c r="O233" s="31"/>
      <c r="P233" s="2" t="s">
        <v>1637</v>
      </c>
      <c r="Q233" s="2"/>
      <c r="R233" s="18"/>
      <c r="S233" s="18"/>
      <c r="T233" s="18"/>
      <c r="U233" s="2" t="str" cm="1">
        <f t="array" ref="U233">_xlfn.TEXTJOIN(", ", TRUE, IF(Y233:CG233="X", $Y$3:$CG$3, ""))</f>
        <v/>
      </c>
      <c r="V233" s="18" t="str" cm="1">
        <f t="array" ref="V233">_xlfn.TEXTJOIN(", ", TRUE, IF(Y233:CG233="X", $Y$2:$CG$2, ""))</f>
        <v/>
      </c>
      <c r="W233" s="2" t="str" cm="1">
        <f t="array" ref="W233">_xlfn.TEXTJOIN(", ", TRUE, IF(CH233:CS233="X", $CH$3:$CS$3, ""))</f>
        <v/>
      </c>
      <c r="X233" s="2" t="str" cm="1">
        <f t="array" ref="X233">_xlfn.TEXTJOIN(", ", TRUE, IF(CT233:CX233="X", $CT$3:$CX$3, ""))</f>
        <v/>
      </c>
      <c r="AC233" s="49"/>
      <c r="AW233" s="82"/>
      <c r="CN233" s="49"/>
      <c r="CW233" s="49"/>
      <c r="CX233" s="49"/>
    </row>
    <row r="234" spans="1:102" ht="18.75" customHeight="1" x14ac:dyDescent="0.25">
      <c r="A234" s="8">
        <v>159</v>
      </c>
      <c r="B234" s="2" t="s">
        <v>1638</v>
      </c>
      <c r="C234" s="2" t="s">
        <v>1639</v>
      </c>
      <c r="D234" s="29" t="s">
        <v>1640</v>
      </c>
      <c r="E234" s="29" t="s">
        <v>1641</v>
      </c>
      <c r="F234" s="18">
        <v>15459</v>
      </c>
      <c r="G234" s="8">
        <f ca="1">DATEDIF(F234, TODAY(), "Y")</f>
        <v>84</v>
      </c>
      <c r="H234" s="2" t="s">
        <v>464</v>
      </c>
      <c r="I234" s="2" t="s">
        <v>1642</v>
      </c>
      <c r="J234" s="29"/>
      <c r="L234" s="1"/>
      <c r="M234" s="30"/>
      <c r="N234" s="31"/>
      <c r="O234" s="31"/>
      <c r="P234" s="49"/>
      <c r="Q234" s="49"/>
      <c r="R234" s="18"/>
      <c r="S234" s="18"/>
      <c r="T234" s="18"/>
      <c r="U234" s="2" t="str" cm="1">
        <f t="array" ref="U234">_xlfn.TEXTJOIN(", ", TRUE, IF(Y234:CG234="X", $Y$3:$CG$3, ""))</f>
        <v/>
      </c>
      <c r="V234" s="18" t="str" cm="1">
        <f t="array" ref="V234">_xlfn.TEXTJOIN(", ", TRUE, IF(Y234:CG234="X", $Y$2:$CG$2, ""))</f>
        <v/>
      </c>
      <c r="W234" s="2" t="str" cm="1">
        <f t="array" ref="W234">_xlfn.TEXTJOIN(", ", TRUE, IF(CH234:CS234="X", $CH$3:$CS$3, ""))</f>
        <v/>
      </c>
      <c r="X234" s="2" t="str" cm="1">
        <f t="array" ref="X234">_xlfn.TEXTJOIN(", ", TRUE, IF(CT234:CX234="X", $CT$3:$CX$3, ""))</f>
        <v/>
      </c>
      <c r="AC234" s="82"/>
      <c r="CN234" s="82"/>
      <c r="CW234" s="82"/>
      <c r="CX234" s="82"/>
    </row>
    <row r="235" spans="1:102" ht="18.75" customHeight="1" x14ac:dyDescent="0.25">
      <c r="A235" s="8">
        <v>163</v>
      </c>
      <c r="B235" s="2" t="s">
        <v>1663</v>
      </c>
      <c r="C235" s="2" t="s">
        <v>1664</v>
      </c>
      <c r="D235" s="29" t="s">
        <v>1665</v>
      </c>
      <c r="E235" s="29" t="s">
        <v>1666</v>
      </c>
      <c r="F235" s="18">
        <v>18788</v>
      </c>
      <c r="G235" s="8">
        <f ca="1">DATEDIF(F235, TODAY(), "Y")</f>
        <v>75</v>
      </c>
      <c r="H235" s="2" t="s">
        <v>464</v>
      </c>
      <c r="I235" s="2" t="s">
        <v>1667</v>
      </c>
      <c r="J235" s="29"/>
      <c r="L235" s="1"/>
      <c r="M235" s="76"/>
      <c r="N235" s="31"/>
      <c r="O235" s="31"/>
      <c r="P235" s="49"/>
      <c r="Q235" s="49"/>
      <c r="R235" s="18"/>
      <c r="S235" s="18"/>
      <c r="T235" s="18"/>
      <c r="U235" s="2" t="str" cm="1">
        <f t="array" ref="U235">_xlfn.TEXTJOIN(", ", TRUE, IF(Y235:CG235="X", $Y$3:$CG$3, ""))</f>
        <v>Babarrunak</v>
      </c>
      <c r="V235" s="18" t="str" cm="1">
        <f t="array" ref="V235">_xlfn.TEXTJOIN(", ", TRUE, IF(Y235:CG235="X", $Y$2:$CG$2, ""))</f>
        <v>LEKALEAK</v>
      </c>
      <c r="W235" s="2" t="str" cm="1">
        <f t="array" ref="W235">_xlfn.TEXTJOIN(", ", TRUE, IF(CH235:CS235="X", $CH$3:$CS$3, ""))</f>
        <v/>
      </c>
      <c r="X235" s="2" t="str" cm="1">
        <f t="array" ref="X235">_xlfn.TEXTJOIN(", ", TRUE, IF(CT235:CX235="X", $CT$3:$CX$3, ""))</f>
        <v/>
      </c>
      <c r="AC235" s="49"/>
      <c r="AZ235" s="65" t="s">
        <v>764</v>
      </c>
      <c r="CW235" s="49"/>
      <c r="CX235" s="49"/>
    </row>
    <row r="236" spans="1:102" ht="18.75" customHeight="1" x14ac:dyDescent="0.25">
      <c r="A236" s="8">
        <v>165</v>
      </c>
      <c r="B236" s="2" t="s">
        <v>1673</v>
      </c>
      <c r="C236" s="2" t="s">
        <v>1674</v>
      </c>
      <c r="D236" s="29" t="s">
        <v>1675</v>
      </c>
      <c r="E236" s="29" t="s">
        <v>1676</v>
      </c>
      <c r="F236" s="18">
        <v>22030</v>
      </c>
      <c r="G236" s="8">
        <f ca="1">DATEDIF(F236, TODAY(), "Y")</f>
        <v>66</v>
      </c>
      <c r="H236" s="2" t="s">
        <v>464</v>
      </c>
      <c r="I236" s="2" t="s">
        <v>1677</v>
      </c>
      <c r="J236" s="29"/>
      <c r="L236" s="1">
        <v>656735389</v>
      </c>
      <c r="M236" s="30"/>
      <c r="N236" s="31"/>
      <c r="O236" s="31"/>
      <c r="P236" s="2" t="s">
        <v>1678</v>
      </c>
      <c r="Q236" s="2"/>
      <c r="R236" s="18"/>
      <c r="S236" s="18"/>
      <c r="T236" s="18"/>
      <c r="U236" s="2" t="str" cm="1">
        <f t="array" ref="U236">_xlfn.TEXTJOIN(", ", TRUE, IF(Y236:CG236="X", $Y$3:$CG$3, ""))</f>
        <v/>
      </c>
      <c r="V236" s="18" t="str" cm="1">
        <f t="array" ref="V236">_xlfn.TEXTJOIN(", ", TRUE, IF(Y236:CG236="X", $Y$2:$CG$2, ""))</f>
        <v/>
      </c>
      <c r="W236" s="2" t="str" cm="1">
        <f t="array" ref="W236">_xlfn.TEXTJOIN(", ", TRUE, IF(CH236:CS236="X", $CH$3:$CS$3, ""))</f>
        <v/>
      </c>
      <c r="X236" s="2" t="str" cm="1">
        <f t="array" ref="X236">_xlfn.TEXTJOIN(", ", TRUE, IF(CT236:CX236="X", $CT$3:$CX$3, ""))</f>
        <v/>
      </c>
      <c r="AC236" s="82"/>
      <c r="CW236" s="82"/>
      <c r="CX236" s="82"/>
    </row>
    <row r="237" spans="1:102" ht="18.75" customHeight="1" x14ac:dyDescent="0.25">
      <c r="A237" s="8">
        <v>166</v>
      </c>
      <c r="B237" s="2" t="s">
        <v>1679</v>
      </c>
      <c r="C237" s="2" t="s">
        <v>1680</v>
      </c>
      <c r="D237" s="29" t="s">
        <v>1681</v>
      </c>
      <c r="E237" s="29" t="s">
        <v>1682</v>
      </c>
      <c r="F237" s="18">
        <v>31379</v>
      </c>
      <c r="G237" s="8">
        <f ca="1">DATEDIF(F237, TODAY(), "Y")</f>
        <v>40</v>
      </c>
      <c r="H237" s="2" t="s">
        <v>464</v>
      </c>
      <c r="I237" s="2" t="s">
        <v>1683</v>
      </c>
      <c r="J237" s="29"/>
      <c r="L237" s="1">
        <v>679325029</v>
      </c>
      <c r="M237" s="30"/>
      <c r="N237" s="31"/>
      <c r="O237" s="35"/>
      <c r="P237" s="65" t="s">
        <v>1684</v>
      </c>
      <c r="Q237" s="65"/>
      <c r="R237" s="67"/>
      <c r="S237" s="67"/>
      <c r="T237" s="67"/>
      <c r="U237" s="2" t="str" cm="1">
        <f t="array" ref="U237">_xlfn.TEXTJOIN(", ", TRUE, IF(Y237:CG237="X", $Y$3:$CG$3, ""))</f>
        <v/>
      </c>
      <c r="V237" s="18" t="str" cm="1">
        <f t="array" ref="V237">_xlfn.TEXTJOIN(", ", TRUE, IF(Y237:CG237="X", $Y$2:$CG$2, ""))</f>
        <v/>
      </c>
      <c r="W237" s="2" t="str" cm="1">
        <f t="array" ref="W237">_xlfn.TEXTJOIN(", ", TRUE, IF(CH237:CS237="X", $CH$3:$CS$3, ""))</f>
        <v/>
      </c>
      <c r="X237" s="2" t="str" cm="1">
        <f t="array" ref="X237">_xlfn.TEXTJOIN(", ", TRUE, IF(CT237:CX237="X", $CT$3:$CX$3, ""))</f>
        <v/>
      </c>
    </row>
    <row r="238" spans="1:102" ht="18.75" customHeight="1" x14ac:dyDescent="0.25">
      <c r="A238" s="8">
        <v>167</v>
      </c>
      <c r="B238" s="2" t="s">
        <v>1685</v>
      </c>
      <c r="C238" s="2" t="s">
        <v>1686</v>
      </c>
      <c r="D238" s="29" t="s">
        <v>1687</v>
      </c>
      <c r="E238" s="29" t="s">
        <v>1688</v>
      </c>
      <c r="F238" s="18">
        <v>29952</v>
      </c>
      <c r="G238" s="8">
        <f ca="1">DATEDIF(F238, TODAY(), "Y")</f>
        <v>44</v>
      </c>
      <c r="H238" s="2" t="s">
        <v>468</v>
      </c>
      <c r="I238" s="2" t="s">
        <v>1689</v>
      </c>
      <c r="J238" s="29"/>
      <c r="L238" s="1" t="s">
        <v>1690</v>
      </c>
      <c r="M238" s="30"/>
      <c r="N238" s="31"/>
      <c r="O238" s="35"/>
      <c r="P238" s="65" t="s">
        <v>1691</v>
      </c>
      <c r="Q238" s="65" t="s">
        <v>3020</v>
      </c>
      <c r="R238" s="2" t="s">
        <v>1216</v>
      </c>
      <c r="S238" s="2"/>
      <c r="T238" s="2"/>
      <c r="U238" s="2" t="str" cm="1">
        <f t="array" ref="U238">_xlfn.TEXTJOIN(", ", TRUE, IF(Y238:CG238="X", $Y$3:$CG$3, ""))</f>
        <v>Behi haragia</v>
      </c>
      <c r="V238" s="18" t="str" cm="1">
        <f t="array" ref="V238">_xlfn.TEXTJOIN(", ", TRUE, IF(Y238:CG238="X", $Y$2:$CG$2, ""))</f>
        <v>HARAGIA</v>
      </c>
      <c r="W238" s="2" t="str" cm="1">
        <f t="array" ref="W238">_xlfn.TEXTJOIN(", ", TRUE, IF(CH238:CS238="X", $CH$3:$CS$3, ""))</f>
        <v>Harategian, Bertatik Bertara</v>
      </c>
      <c r="X238" s="2" t="str" cm="1">
        <f t="array" ref="X238">_xlfn.TEXTJOIN(", ", TRUE, IF(CT238:CX238="X", $CT$3:$CX$3, ""))</f>
        <v/>
      </c>
      <c r="AJ238" s="65" t="s">
        <v>764</v>
      </c>
      <c r="CL238" s="65" t="s">
        <v>764</v>
      </c>
      <c r="CR238" s="65" t="s">
        <v>764</v>
      </c>
    </row>
    <row r="239" spans="1:102" ht="18.75" customHeight="1" x14ac:dyDescent="0.25">
      <c r="A239" s="8">
        <v>168</v>
      </c>
      <c r="B239" s="2" t="s">
        <v>1692</v>
      </c>
      <c r="C239" s="2" t="s">
        <v>1693</v>
      </c>
      <c r="D239" s="29" t="s">
        <v>1694</v>
      </c>
      <c r="E239" s="29" t="s">
        <v>1695</v>
      </c>
      <c r="F239" s="18">
        <v>17219</v>
      </c>
      <c r="G239" s="8">
        <f ca="1">DATEDIF(F239, TODAY(), "Y")</f>
        <v>79</v>
      </c>
      <c r="H239" s="2" t="s">
        <v>468</v>
      </c>
      <c r="I239" s="2" t="s">
        <v>1696</v>
      </c>
      <c r="J239" s="29"/>
      <c r="L239" s="1">
        <v>634727280</v>
      </c>
      <c r="M239" s="30"/>
      <c r="N239" s="31"/>
      <c r="O239" s="35"/>
      <c r="P239" s="65" t="s">
        <v>1697</v>
      </c>
      <c r="Q239" s="65"/>
      <c r="R239" s="18"/>
      <c r="S239" s="18"/>
      <c r="T239" s="18"/>
      <c r="U239" s="2" t="str" cm="1">
        <f t="array" ref="U239">_xlfn.TEXTJOIN(", ", TRUE, IF(Y239:CG239="X", $Y$3:$CG$3, ""))</f>
        <v/>
      </c>
      <c r="V239" s="18" t="str" cm="1">
        <f t="array" ref="V239">_xlfn.TEXTJOIN(", ", TRUE, IF(Y239:CG239="X", $Y$2:$CG$2, ""))</f>
        <v/>
      </c>
      <c r="W239" s="2" t="str" cm="1">
        <f t="array" ref="W239">_xlfn.TEXTJOIN(", ", TRUE, IF(CH239:CS239="X", $CH$3:$CS$3, ""))</f>
        <v/>
      </c>
      <c r="X239" s="2" t="str" cm="1">
        <f t="array" ref="X239">_xlfn.TEXTJOIN(", ", TRUE, IF(CT239:CX239="X", $CT$3:$CX$3, ""))</f>
        <v/>
      </c>
    </row>
    <row r="240" spans="1:102" ht="18.75" customHeight="1" x14ac:dyDescent="0.25">
      <c r="A240" s="8">
        <v>169</v>
      </c>
      <c r="B240" s="2" t="s">
        <v>1698</v>
      </c>
      <c r="C240" s="2" t="s">
        <v>1699</v>
      </c>
      <c r="D240" s="29" t="s">
        <v>1700</v>
      </c>
      <c r="E240" s="29" t="s">
        <v>1701</v>
      </c>
      <c r="F240" s="18">
        <v>22269</v>
      </c>
      <c r="G240" s="8">
        <f ca="1">DATEDIF(F240, TODAY(), "Y")</f>
        <v>65</v>
      </c>
      <c r="H240" s="2" t="s">
        <v>468</v>
      </c>
      <c r="I240" s="2" t="s">
        <v>1702</v>
      </c>
      <c r="J240" s="29"/>
      <c r="L240" s="1">
        <v>689737466</v>
      </c>
      <c r="M240" s="30"/>
      <c r="N240" s="31"/>
      <c r="O240" s="35"/>
      <c r="P240" s="65" t="s">
        <v>1703</v>
      </c>
      <c r="Q240" s="65"/>
      <c r="R240" s="18"/>
      <c r="S240" s="18"/>
      <c r="T240" s="18"/>
      <c r="U240" s="2" t="str" cm="1">
        <f t="array" ref="U240">_xlfn.TEXTJOIN(", ", TRUE, IF(Y240:CG240="X", $Y$3:$CG$3, ""))</f>
        <v/>
      </c>
      <c r="V240" s="18" t="str" cm="1">
        <f t="array" ref="V240">_xlfn.TEXTJOIN(", ", TRUE, IF(Y240:CG240="X", $Y$2:$CG$2, ""))</f>
        <v/>
      </c>
      <c r="W240" s="2" t="str" cm="1">
        <f t="array" ref="W240">_xlfn.TEXTJOIN(", ", TRUE, IF(CH240:CS240="X", $CH$3:$CS$3, ""))</f>
        <v/>
      </c>
      <c r="X240" s="2" t="str" cm="1">
        <f t="array" ref="X240">_xlfn.TEXTJOIN(", ", TRUE, IF(CT240:CX240="X", $CT$3:$CX$3, ""))</f>
        <v/>
      </c>
    </row>
    <row r="241" spans="1:102" ht="18.75" customHeight="1" x14ac:dyDescent="0.25">
      <c r="A241" s="8">
        <v>170</v>
      </c>
      <c r="B241" s="2" t="s">
        <v>1704</v>
      </c>
      <c r="C241" s="2" t="s">
        <v>1705</v>
      </c>
      <c r="D241" s="29" t="s">
        <v>1706</v>
      </c>
      <c r="E241" s="29" t="s">
        <v>1707</v>
      </c>
      <c r="F241" s="18">
        <v>18390</v>
      </c>
      <c r="G241" s="8">
        <f ca="1">DATEDIF(F241, TODAY(), "Y")</f>
        <v>76</v>
      </c>
      <c r="H241" s="2" t="s">
        <v>468</v>
      </c>
      <c r="I241" s="2" t="s">
        <v>1708</v>
      </c>
      <c r="J241" s="29"/>
      <c r="L241" s="1" t="s">
        <v>1709</v>
      </c>
      <c r="M241" s="30"/>
      <c r="N241" s="31"/>
      <c r="O241" s="31"/>
      <c r="P241" s="2" t="s">
        <v>1710</v>
      </c>
      <c r="Q241" s="2" t="s">
        <v>3020</v>
      </c>
      <c r="R241" s="2" t="s">
        <v>1216</v>
      </c>
      <c r="S241" s="2"/>
      <c r="T241" s="2"/>
      <c r="U241" s="2" t="str" cm="1">
        <f t="array" ref="U241">_xlfn.TEXTJOIN(", ", TRUE, IF(Y241:CG241="X", $Y$3:$CG$3, ""))</f>
        <v>Ardi haragia, Barazkiak aire librean, Fruta</v>
      </c>
      <c r="V241" s="18" t="str" cm="1">
        <f t="array" ref="V241">_xlfn.TEXTJOIN(", ", TRUE, IF(Y241:CG241="X", $Y$2:$CG$2, ""))</f>
        <v>HARAGIA, BARAZKIAK, FRUTA</v>
      </c>
      <c r="W241" s="2" t="str" cm="1">
        <f t="array" ref="W241">_xlfn.TEXTJOIN(", ", TRUE, IF(CH241:CS241="X", $CH$3:$CS$3, ""))</f>
        <v>Etxetik, Bertatik Bertara</v>
      </c>
      <c r="X241" s="2" t="str" cm="1">
        <f t="array" ref="X241">_xlfn.TEXTJOIN(", ", TRUE, IF(CT241:CX241="X", $CT$3:$CX$3, ""))</f>
        <v/>
      </c>
      <c r="AK241" s="65" t="s">
        <v>764</v>
      </c>
      <c r="AS241" s="65" t="s">
        <v>764</v>
      </c>
      <c r="BD241" s="65" t="s">
        <v>764</v>
      </c>
      <c r="CI241" s="65" t="s">
        <v>764</v>
      </c>
      <c r="CR241" s="65" t="s">
        <v>764</v>
      </c>
    </row>
    <row r="242" spans="1:102" ht="18.75" customHeight="1" x14ac:dyDescent="0.25">
      <c r="A242" s="8">
        <v>171</v>
      </c>
      <c r="B242" s="2" t="s">
        <v>1711</v>
      </c>
      <c r="C242" s="2" t="s">
        <v>1712</v>
      </c>
      <c r="D242" s="29" t="s">
        <v>1713</v>
      </c>
      <c r="E242" s="29" t="s">
        <v>1714</v>
      </c>
      <c r="F242" s="18">
        <v>15362</v>
      </c>
      <c r="G242" s="8">
        <f ca="1">DATEDIF(F242, TODAY(), "Y")</f>
        <v>84</v>
      </c>
      <c r="H242" s="2" t="s">
        <v>468</v>
      </c>
      <c r="I242" s="2" t="s">
        <v>1715</v>
      </c>
      <c r="J242" s="29"/>
      <c r="L242" s="1"/>
      <c r="M242" s="30"/>
      <c r="N242" s="31"/>
      <c r="O242" s="35"/>
      <c r="P242" s="82"/>
      <c r="Q242" s="82"/>
      <c r="R242" s="18"/>
      <c r="S242" s="18"/>
      <c r="T242" s="18"/>
      <c r="U242" s="2" t="str" cm="1">
        <f t="array" ref="U242">_xlfn.TEXTJOIN(", ", TRUE, IF(Y242:CG242="X", $Y$3:$CG$3, ""))</f>
        <v/>
      </c>
      <c r="V242" s="18" t="str" cm="1">
        <f t="array" ref="V242">_xlfn.TEXTJOIN(", ", TRUE, IF(Y242:CG242="X", $Y$2:$CG$2, ""))</f>
        <v/>
      </c>
      <c r="W242" s="2" t="str" cm="1">
        <f t="array" ref="W242">_xlfn.TEXTJOIN(", ", TRUE, IF(CH242:CS242="X", $CH$3:$CS$3, ""))</f>
        <v/>
      </c>
      <c r="X242" s="2" t="str" cm="1">
        <f t="array" ref="X242">_xlfn.TEXTJOIN(", ", TRUE, IF(CT242:CX242="X", $CT$3:$CX$3, ""))</f>
        <v/>
      </c>
    </row>
    <row r="243" spans="1:102" ht="18.75" customHeight="1" x14ac:dyDescent="0.25">
      <c r="A243" s="8">
        <v>173</v>
      </c>
      <c r="B243" s="2" t="s">
        <v>1724</v>
      </c>
      <c r="C243" s="2" t="s">
        <v>1725</v>
      </c>
      <c r="D243" s="29" t="s">
        <v>1726</v>
      </c>
      <c r="E243" s="29" t="s">
        <v>1727</v>
      </c>
      <c r="F243" s="18">
        <v>28063</v>
      </c>
      <c r="G243" s="8">
        <f ca="1">DATEDIF(F243, TODAY(), "Y")</f>
        <v>49</v>
      </c>
      <c r="H243" s="2" t="s">
        <v>468</v>
      </c>
      <c r="I243" s="2" t="s">
        <v>1331</v>
      </c>
      <c r="J243" s="29"/>
      <c r="L243" s="1">
        <v>617233681</v>
      </c>
      <c r="M243" s="30"/>
      <c r="N243" s="31"/>
      <c r="O243" s="31"/>
      <c r="P243" s="2" t="s">
        <v>1728</v>
      </c>
      <c r="Q243" s="2"/>
      <c r="R243" s="18"/>
      <c r="S243" s="18"/>
      <c r="T243" s="18"/>
      <c r="U243" s="2" t="str" cm="1">
        <f t="array" ref="U243">_xlfn.TEXTJOIN(", ", TRUE, IF(Y243:CG243="X", $Y$3:$CG$3, ""))</f>
        <v/>
      </c>
      <c r="V243" s="18" t="str" cm="1">
        <f t="array" ref="V243">_xlfn.TEXTJOIN(", ", TRUE, IF(Y243:CG243="X", $Y$2:$CG$2, ""))</f>
        <v/>
      </c>
      <c r="W243" s="2" t="str" cm="1">
        <f t="array" ref="W243">_xlfn.TEXTJOIN(", ", TRUE, IF(CH243:CS243="X", $CH$3:$CS$3, ""))</f>
        <v/>
      </c>
      <c r="X243" s="2" t="str" cm="1">
        <f t="array" ref="X243">_xlfn.TEXTJOIN(", ", TRUE, IF(CT243:CX243="X", $CT$3:$CX$3, ""))</f>
        <v/>
      </c>
    </row>
    <row r="244" spans="1:102" ht="18.75" customHeight="1" x14ac:dyDescent="0.25">
      <c r="A244" s="8">
        <v>174</v>
      </c>
      <c r="B244" s="2" t="s">
        <v>1729</v>
      </c>
      <c r="C244" s="2" t="s">
        <v>1730</v>
      </c>
      <c r="D244" s="29" t="s">
        <v>1731</v>
      </c>
      <c r="E244" s="29" t="s">
        <v>1732</v>
      </c>
      <c r="F244" s="18">
        <v>9245</v>
      </c>
      <c r="G244" s="8">
        <f ca="1">DATEDIF(F244, TODAY(), "Y")</f>
        <v>101</v>
      </c>
      <c r="H244" s="2" t="s">
        <v>468</v>
      </c>
      <c r="I244" s="2" t="s">
        <v>3082</v>
      </c>
      <c r="J244" s="29"/>
      <c r="L244" s="1"/>
      <c r="M244" s="30"/>
      <c r="N244" s="31"/>
      <c r="O244" s="31"/>
      <c r="P244" s="49"/>
      <c r="Q244" s="49"/>
      <c r="R244" s="18"/>
      <c r="S244" s="18"/>
      <c r="T244" s="18"/>
      <c r="U244" s="2" t="str" cm="1">
        <f t="array" ref="U244">_xlfn.TEXTJOIN(", ", TRUE, IF(Y244:CG244="X", $Y$3:$CG$3, ""))</f>
        <v/>
      </c>
      <c r="V244" s="18" t="str" cm="1">
        <f t="array" ref="V244">_xlfn.TEXTJOIN(", ", TRUE, IF(Y244:CG244="X", $Y$2:$CG$2, ""))</f>
        <v/>
      </c>
      <c r="W244" s="2" t="str" cm="1">
        <f t="array" ref="W244">_xlfn.TEXTJOIN(", ", TRUE, IF(CH244:CS244="X", $CH$3:$CS$3, ""))</f>
        <v/>
      </c>
      <c r="X244" s="2" t="str" cm="1">
        <f t="array" ref="X244">_xlfn.TEXTJOIN(", ", TRUE, IF(CT244:CX244="X", $CT$3:$CX$3, ""))</f>
        <v/>
      </c>
    </row>
    <row r="245" spans="1:102" ht="18.75" customHeight="1" x14ac:dyDescent="0.25">
      <c r="A245" s="8">
        <v>175</v>
      </c>
      <c r="B245" s="2" t="s">
        <v>1733</v>
      </c>
      <c r="C245" s="2" t="s">
        <v>1734</v>
      </c>
      <c r="D245" s="29" t="s">
        <v>1735</v>
      </c>
      <c r="E245" s="29" t="s">
        <v>1736</v>
      </c>
      <c r="F245" s="18">
        <v>23824</v>
      </c>
      <c r="G245" s="8">
        <f ca="1">DATEDIF(F245, TODAY(), "Y")</f>
        <v>61</v>
      </c>
      <c r="H245" s="2" t="s">
        <v>468</v>
      </c>
      <c r="I245" s="2" t="s">
        <v>1737</v>
      </c>
      <c r="J245" s="29"/>
      <c r="L245" s="1">
        <v>665700738</v>
      </c>
      <c r="M245" s="30"/>
      <c r="N245" s="31"/>
      <c r="O245" s="31"/>
      <c r="P245" s="2" t="s">
        <v>1738</v>
      </c>
      <c r="Q245" s="2"/>
      <c r="R245" s="18"/>
      <c r="S245" s="18"/>
      <c r="T245" s="18"/>
      <c r="U245" s="2" t="str" cm="1">
        <f t="array" ref="U245">_xlfn.TEXTJOIN(", ", TRUE, IF(Y245:CG245="X", $Y$3:$CG$3, ""))</f>
        <v/>
      </c>
      <c r="V245" s="18" t="str" cm="1">
        <f t="array" ref="V245">_xlfn.TEXTJOIN(", ", TRUE, IF(Y245:CG245="X", $Y$2:$CG$2, ""))</f>
        <v/>
      </c>
      <c r="W245" s="2" t="str" cm="1">
        <f t="array" ref="W245">_xlfn.TEXTJOIN(", ", TRUE, IF(CH245:CS245="X", $CH$3:$CS$3, ""))</f>
        <v/>
      </c>
      <c r="X245" s="2" t="str" cm="1">
        <f t="array" ref="X245">_xlfn.TEXTJOIN(", ", TRUE, IF(CT245:CX245="X", $CT$3:$CX$3, ""))</f>
        <v/>
      </c>
    </row>
    <row r="246" spans="1:102" ht="18.75" customHeight="1" x14ac:dyDescent="0.25">
      <c r="A246" s="8">
        <v>178</v>
      </c>
      <c r="B246" s="2" t="s">
        <v>1755</v>
      </c>
      <c r="C246" s="2" t="s">
        <v>1756</v>
      </c>
      <c r="D246" s="29" t="s">
        <v>1757</v>
      </c>
      <c r="E246" s="29" t="s">
        <v>1758</v>
      </c>
      <c r="F246" s="18">
        <v>21974</v>
      </c>
      <c r="G246" s="8">
        <f ca="1">DATEDIF(F246, TODAY(), "Y")</f>
        <v>66</v>
      </c>
      <c r="H246" s="2" t="s">
        <v>468</v>
      </c>
      <c r="I246" s="2" t="s">
        <v>1759</v>
      </c>
      <c r="J246" s="29"/>
      <c r="L246" s="1"/>
      <c r="M246" s="30"/>
      <c r="N246" s="31"/>
      <c r="O246" s="31"/>
      <c r="P246" s="49"/>
      <c r="Q246" s="49"/>
      <c r="R246" s="18"/>
      <c r="S246" s="18"/>
      <c r="T246" s="18"/>
      <c r="U246" s="2" t="str" cm="1">
        <f t="array" ref="U246">_xlfn.TEXTJOIN(", ", TRUE, IF(Y246:CG246="X", $Y$3:$CG$3, ""))</f>
        <v/>
      </c>
      <c r="V246" s="18" t="str" cm="1">
        <f t="array" ref="V246">_xlfn.TEXTJOIN(", ", TRUE, IF(Y246:CG246="X", $Y$2:$CG$2, ""))</f>
        <v/>
      </c>
      <c r="W246" s="2" t="str" cm="1">
        <f t="array" ref="W246">_xlfn.TEXTJOIN(", ", TRUE, IF(CH246:CS246="X", $CH$3:$CS$3, ""))</f>
        <v/>
      </c>
      <c r="X246" s="2" t="str" cm="1">
        <f t="array" ref="X246">_xlfn.TEXTJOIN(", ", TRUE, IF(CT246:CX246="X", $CT$3:$CX$3, ""))</f>
        <v/>
      </c>
      <c r="BD246" s="49"/>
      <c r="BO246" s="49"/>
      <c r="CT246" s="49"/>
    </row>
    <row r="247" spans="1:102" ht="18.75" customHeight="1" x14ac:dyDescent="0.25">
      <c r="A247" s="8">
        <v>179</v>
      </c>
      <c r="B247" s="2" t="s">
        <v>1760</v>
      </c>
      <c r="C247" s="2" t="s">
        <v>1761</v>
      </c>
      <c r="D247" s="29" t="s">
        <v>1762</v>
      </c>
      <c r="E247" s="29" t="s">
        <v>1763</v>
      </c>
      <c r="F247" s="18">
        <v>14321</v>
      </c>
      <c r="G247" s="8">
        <f ca="1">DATEDIF(F247, TODAY(), "Y")</f>
        <v>87</v>
      </c>
      <c r="H247" s="2" t="s">
        <v>468</v>
      </c>
      <c r="I247" s="2" t="s">
        <v>1764</v>
      </c>
      <c r="J247" s="29"/>
      <c r="L247" s="1"/>
      <c r="M247" s="30"/>
      <c r="N247" s="31"/>
      <c r="O247" s="31"/>
      <c r="P247" s="49"/>
      <c r="Q247" s="49"/>
      <c r="R247" s="18"/>
      <c r="S247" s="18"/>
      <c r="T247" s="18"/>
      <c r="U247" s="2" t="str" cm="1">
        <f t="array" ref="U247">_xlfn.TEXTJOIN(", ", TRUE, IF(Y247:CG247="X", $Y$3:$CG$3, ""))</f>
        <v/>
      </c>
      <c r="V247" s="18" t="str" cm="1">
        <f t="array" ref="V247">_xlfn.TEXTJOIN(", ", TRUE, IF(Y247:CG247="X", $Y$2:$CG$2, ""))</f>
        <v/>
      </c>
      <c r="W247" s="2" t="str" cm="1">
        <f t="array" ref="W247">_xlfn.TEXTJOIN(", ", TRUE, IF(CH247:CS247="X", $CH$3:$CS$3, ""))</f>
        <v/>
      </c>
      <c r="X247" s="2" t="str" cm="1">
        <f t="array" ref="X247">_xlfn.TEXTJOIN(", ", TRUE, IF(CT247:CX247="X", $CT$3:$CX$3, ""))</f>
        <v/>
      </c>
      <c r="BD247" s="82"/>
      <c r="BO247" s="82"/>
      <c r="CT247" s="82"/>
    </row>
    <row r="248" spans="1:102" ht="18.75" customHeight="1" x14ac:dyDescent="0.25">
      <c r="A248" s="8">
        <v>180</v>
      </c>
      <c r="B248" s="2" t="s">
        <v>1765</v>
      </c>
      <c r="C248" s="2" t="s">
        <v>1766</v>
      </c>
      <c r="D248" s="29" t="s">
        <v>1767</v>
      </c>
      <c r="E248" s="29" t="s">
        <v>1768</v>
      </c>
      <c r="F248" s="18">
        <v>22163</v>
      </c>
      <c r="G248" s="8">
        <f ca="1">DATEDIF(F248, TODAY(), "Y")</f>
        <v>65</v>
      </c>
      <c r="H248" s="2" t="s">
        <v>468</v>
      </c>
      <c r="I248" s="2" t="s">
        <v>1769</v>
      </c>
      <c r="J248" s="29"/>
      <c r="L248" s="1">
        <v>608751425</v>
      </c>
      <c r="M248" s="30"/>
      <c r="N248" s="31"/>
      <c r="O248" s="31"/>
      <c r="P248" s="2" t="s">
        <v>1770</v>
      </c>
      <c r="Q248" s="2"/>
      <c r="R248" s="18"/>
      <c r="S248" s="18"/>
      <c r="T248" s="18"/>
      <c r="U248" s="2" t="str" cm="1">
        <f t="array" ref="U248">_xlfn.TEXTJOIN(", ", TRUE, IF(Y248:CG248="X", $Y$3:$CG$3, ""))</f>
        <v/>
      </c>
      <c r="V248" s="18" t="str" cm="1">
        <f t="array" ref="V248">_xlfn.TEXTJOIN(", ", TRUE, IF(Y248:CG248="X", $Y$2:$CG$2, ""))</f>
        <v/>
      </c>
      <c r="W248" s="2" t="str" cm="1">
        <f t="array" ref="W248">_xlfn.TEXTJOIN(", ", TRUE, IF(CH248:CS248="X", $CH$3:$CS$3, ""))</f>
        <v/>
      </c>
      <c r="X248" s="2" t="str" cm="1">
        <f t="array" ref="X248">_xlfn.TEXTJOIN(", ", TRUE, IF(CT248:CX248="X", $CT$3:$CX$3, ""))</f>
        <v/>
      </c>
    </row>
    <row r="249" spans="1:102" ht="18.75" customHeight="1" x14ac:dyDescent="0.25">
      <c r="A249" s="8">
        <v>182</v>
      </c>
      <c r="B249" s="2" t="s">
        <v>1779</v>
      </c>
      <c r="C249" s="2" t="s">
        <v>1780</v>
      </c>
      <c r="D249" s="29" t="s">
        <v>1781</v>
      </c>
      <c r="E249" s="29" t="s">
        <v>1782</v>
      </c>
      <c r="F249" s="18">
        <v>15018</v>
      </c>
      <c r="G249" s="8">
        <f ca="1">DATEDIF(F249, TODAY(), "Y")</f>
        <v>85</v>
      </c>
      <c r="H249" s="2" t="s">
        <v>468</v>
      </c>
      <c r="I249" s="2" t="s">
        <v>1783</v>
      </c>
      <c r="J249" s="29"/>
      <c r="L249" s="1">
        <v>943733301</v>
      </c>
      <c r="M249" s="30"/>
      <c r="N249" s="31"/>
      <c r="O249" s="31"/>
      <c r="P249" s="2" t="s">
        <v>1784</v>
      </c>
      <c r="Q249" s="2"/>
      <c r="R249" s="18"/>
      <c r="S249" s="18"/>
      <c r="T249" s="18"/>
      <c r="U249" s="2" t="str" cm="1">
        <f t="array" ref="U249">_xlfn.TEXTJOIN(", ", TRUE, IF(Y249:CG249="X", $Y$3:$CG$3, ""))</f>
        <v/>
      </c>
      <c r="V249" s="18" t="str" cm="1">
        <f t="array" ref="V249">_xlfn.TEXTJOIN(", ", TRUE, IF(Y249:CG249="X", $Y$2:$CG$2, ""))</f>
        <v/>
      </c>
      <c r="W249" s="2" t="str" cm="1">
        <f t="array" ref="W249">_xlfn.TEXTJOIN(", ", TRUE, IF(CH249:CS249="X", $CH$3:$CS$3, ""))</f>
        <v/>
      </c>
      <c r="X249" s="2" t="str" cm="1">
        <f t="array" ref="X249">_xlfn.TEXTJOIN(", ", TRUE, IF(CT249:CX249="X", $CT$3:$CX$3, ""))</f>
        <v/>
      </c>
    </row>
    <row r="250" spans="1:102" ht="18.75" customHeight="1" x14ac:dyDescent="0.25">
      <c r="A250" s="8">
        <v>183</v>
      </c>
      <c r="B250" s="2" t="s">
        <v>1785</v>
      </c>
      <c r="C250" s="2" t="s">
        <v>1786</v>
      </c>
      <c r="D250" s="29" t="s">
        <v>1787</v>
      </c>
      <c r="E250" s="29" t="s">
        <v>1788</v>
      </c>
      <c r="F250" s="18">
        <v>17273</v>
      </c>
      <c r="G250" s="8">
        <f ca="1">DATEDIF(F250, TODAY(), "Y")</f>
        <v>79</v>
      </c>
      <c r="H250" s="2" t="s">
        <v>468</v>
      </c>
      <c r="I250" s="2" t="s">
        <v>1789</v>
      </c>
      <c r="J250" s="29"/>
      <c r="L250" s="1"/>
      <c r="M250" s="30"/>
      <c r="N250" s="31"/>
      <c r="O250" s="31"/>
      <c r="P250" s="49"/>
      <c r="Q250" s="49"/>
      <c r="R250" s="18"/>
      <c r="S250" s="18"/>
      <c r="T250" s="18"/>
      <c r="U250" s="2" t="str" cm="1">
        <f t="array" ref="U250">_xlfn.TEXTJOIN(", ", TRUE, IF(Y250:CG250="X", $Y$3:$CG$3, ""))</f>
        <v/>
      </c>
      <c r="V250" s="18" t="str" cm="1">
        <f t="array" ref="V250">_xlfn.TEXTJOIN(", ", TRUE, IF(Y250:CG250="X", $Y$2:$CG$2, ""))</f>
        <v/>
      </c>
      <c r="W250" s="2" t="str" cm="1">
        <f t="array" ref="W250">_xlfn.TEXTJOIN(", ", TRUE, IF(CH250:CS250="X", $CH$3:$CS$3, ""))</f>
        <v/>
      </c>
      <c r="X250" s="2" t="str" cm="1">
        <f t="array" ref="X250">_xlfn.TEXTJOIN(", ", TRUE, IF(CT250:CX250="X", $CT$3:$CX$3, ""))</f>
        <v/>
      </c>
    </row>
    <row r="251" spans="1:102" ht="18.75" customHeight="1" x14ac:dyDescent="0.25">
      <c r="A251" s="8">
        <v>184</v>
      </c>
      <c r="B251" s="2" t="s">
        <v>1790</v>
      </c>
      <c r="C251" s="2" t="s">
        <v>1791</v>
      </c>
      <c r="D251" s="29" t="s">
        <v>1792</v>
      </c>
      <c r="E251" s="29" t="s">
        <v>1793</v>
      </c>
      <c r="F251" s="18">
        <v>35781</v>
      </c>
      <c r="G251" s="8">
        <f ca="1">DATEDIF(F251, TODAY(), "Y")</f>
        <v>28</v>
      </c>
      <c r="H251" s="2" t="s">
        <v>468</v>
      </c>
      <c r="I251" s="2" t="s">
        <v>1794</v>
      </c>
      <c r="J251" s="2"/>
      <c r="K251" s="49"/>
      <c r="L251" s="1">
        <v>680700737</v>
      </c>
      <c r="M251" s="30"/>
      <c r="N251" s="31"/>
      <c r="O251" s="31"/>
      <c r="P251" s="2" t="s">
        <v>1795</v>
      </c>
      <c r="Q251" s="2" t="s">
        <v>3020</v>
      </c>
      <c r="R251" s="2" t="s">
        <v>772</v>
      </c>
      <c r="S251" s="2"/>
      <c r="T251" s="2"/>
      <c r="U251" s="2" t="str" cm="1">
        <f t="array" ref="U251">_xlfn.TEXTJOIN(", ", TRUE, IF(Y251:CG251="X", $Y$3:$CG$3, ""))</f>
        <v>Behi haragia, Zaldi haragia, Ahuntz haragia</v>
      </c>
      <c r="V251" s="18" t="str" cm="1">
        <f t="array" ref="V251">_xlfn.TEXTJOIN(", ", TRUE, IF(Y251:CG251="X", $Y$2:$CG$2, ""))</f>
        <v>HARAGIA, HARAGIA, HARAGIA</v>
      </c>
      <c r="W251" s="2" t="str" cm="1">
        <f t="array" ref="W251">_xlfn.TEXTJOIN(", ", TRUE, IF(CH251:CS251="X", $CH$3:$CS$3, ""))</f>
        <v/>
      </c>
      <c r="X251" s="2" t="str" cm="1">
        <f t="array" ref="X251">_xlfn.TEXTJOIN(", ", TRUE, IF(CT251:CX251="X", $CT$3:$CX$3, ""))</f>
        <v/>
      </c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2" t="s">
        <v>764</v>
      </c>
      <c r="AK251" s="49"/>
      <c r="AL251" s="2" t="s">
        <v>764</v>
      </c>
      <c r="AM251" s="49"/>
      <c r="AN251" s="49"/>
      <c r="AO251" s="49"/>
      <c r="AP251" s="2" t="s">
        <v>764</v>
      </c>
      <c r="AQ251" s="49"/>
      <c r="AR251" s="49"/>
      <c r="AS251" s="49"/>
      <c r="AT251" s="49"/>
      <c r="AU251" s="49"/>
      <c r="AV251" s="49"/>
      <c r="AW251" s="49"/>
      <c r="AX251" s="49"/>
      <c r="AY251" s="49"/>
      <c r="AZ251" s="49"/>
      <c r="BA251" s="49"/>
      <c r="BB251" s="49"/>
      <c r="BC251" s="49"/>
      <c r="BD251" s="49"/>
      <c r="BE251" s="49"/>
      <c r="BF251" s="49"/>
      <c r="BG251" s="49"/>
      <c r="BH251" s="49"/>
      <c r="BI251" s="49"/>
      <c r="BJ251" s="49"/>
      <c r="BK251" s="49"/>
      <c r="BL251" s="49"/>
      <c r="BM251" s="49"/>
      <c r="BN251" s="49"/>
      <c r="BO251" s="49"/>
      <c r="BP251" s="49"/>
      <c r="BQ251" s="49"/>
      <c r="BR251" s="49"/>
      <c r="BS251" s="49"/>
      <c r="BT251" s="49"/>
      <c r="BU251" s="49"/>
      <c r="BV251" s="49"/>
      <c r="BW251" s="49"/>
      <c r="BX251" s="49"/>
      <c r="BY251" s="49"/>
      <c r="BZ251" s="49"/>
      <c r="CA251" s="49"/>
      <c r="CB251" s="49"/>
      <c r="CC251" s="49"/>
      <c r="CD251" s="49"/>
      <c r="CE251" s="49"/>
      <c r="CF251" s="49"/>
      <c r="CG251" s="49"/>
      <c r="CH251" s="49"/>
      <c r="CI251" s="49"/>
      <c r="CJ251" s="49"/>
      <c r="CK251" s="49"/>
      <c r="CL251" s="49"/>
      <c r="CM251" s="49"/>
      <c r="CN251" s="49"/>
      <c r="CO251" s="49"/>
      <c r="CP251" s="49"/>
      <c r="CQ251" s="49"/>
      <c r="CR251" s="49"/>
      <c r="CS251" s="49"/>
      <c r="CT251" s="49"/>
      <c r="CU251" s="49"/>
      <c r="CV251" s="49"/>
      <c r="CW251" s="49"/>
      <c r="CX251" s="49"/>
    </row>
    <row r="252" spans="1:102" ht="18.75" customHeight="1" x14ac:dyDescent="0.25">
      <c r="A252" s="8">
        <v>186</v>
      </c>
      <c r="B252" s="2" t="s">
        <v>1804</v>
      </c>
      <c r="C252" s="2" t="s">
        <v>1805</v>
      </c>
      <c r="D252" s="29" t="s">
        <v>1806</v>
      </c>
      <c r="E252" s="29" t="s">
        <v>1807</v>
      </c>
      <c r="F252" s="18">
        <v>23249</v>
      </c>
      <c r="G252" s="8">
        <f ca="1">DATEDIF(F252, TODAY(), "Y")</f>
        <v>62</v>
      </c>
      <c r="H252" s="2" t="s">
        <v>468</v>
      </c>
      <c r="I252" s="2" t="s">
        <v>1808</v>
      </c>
      <c r="J252" s="2"/>
      <c r="K252" s="49"/>
      <c r="L252" s="1">
        <v>605712679</v>
      </c>
      <c r="M252" s="30"/>
      <c r="N252" s="31"/>
      <c r="O252" s="31"/>
      <c r="P252" s="2" t="s">
        <v>1809</v>
      </c>
      <c r="Q252" s="2"/>
      <c r="R252" s="2" t="s">
        <v>1216</v>
      </c>
      <c r="S252" s="2"/>
      <c r="T252" s="2"/>
      <c r="U252" s="2" t="str" cm="1">
        <f t="array" ref="U252">_xlfn.TEXTJOIN(", ", TRUE, IF(Y252:CG252="X", $Y$3:$CG$3, ""))</f>
        <v/>
      </c>
      <c r="V252" s="18" t="str" cm="1">
        <f t="array" ref="V252">_xlfn.TEXTJOIN(", ", TRUE, IF(Y252:CG252="X", $Y$2:$CG$2, ""))</f>
        <v/>
      </c>
      <c r="W252" s="2" t="str" cm="1">
        <f t="array" ref="W252">_xlfn.TEXTJOIN(", ", TRUE, IF(CH252:CS252="X", $CH$3:$CS$3, ""))</f>
        <v>Bertatik Bertara, Goierriko nekazal koop (GNK)</v>
      </c>
      <c r="X252" s="2" t="str" cm="1">
        <f t="array" ref="X252">_xlfn.TEXTJOIN(", ", TRUE, IF(CT252:CX252="X", $CT$3:$CX$3, ""))</f>
        <v/>
      </c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  <c r="AQ252" s="49"/>
      <c r="AR252" s="49"/>
      <c r="AS252" s="49"/>
      <c r="AT252" s="49"/>
      <c r="AU252" s="49"/>
      <c r="AV252" s="49"/>
      <c r="AW252" s="49"/>
      <c r="AX252" s="49"/>
      <c r="AY252" s="49"/>
      <c r="AZ252" s="49"/>
      <c r="BA252" s="49"/>
      <c r="BB252" s="49"/>
      <c r="BC252" s="49"/>
      <c r="BD252" s="49"/>
      <c r="BE252" s="49"/>
      <c r="BF252" s="49"/>
      <c r="BG252" s="49"/>
      <c r="BH252" s="49"/>
      <c r="BI252" s="49"/>
      <c r="BJ252" s="49"/>
      <c r="BK252" s="49"/>
      <c r="BL252" s="49"/>
      <c r="BM252" s="49"/>
      <c r="BN252" s="49"/>
      <c r="BO252" s="49"/>
      <c r="BP252" s="49"/>
      <c r="BQ252" s="49"/>
      <c r="BR252" s="49"/>
      <c r="BS252" s="49"/>
      <c r="BT252" s="49"/>
      <c r="BU252" s="49"/>
      <c r="BV252" s="49"/>
      <c r="BW252" s="49"/>
      <c r="BX252" s="49"/>
      <c r="BY252" s="49"/>
      <c r="BZ252" s="49"/>
      <c r="CA252" s="49"/>
      <c r="CB252" s="49"/>
      <c r="CC252" s="49"/>
      <c r="CD252" s="49"/>
      <c r="CE252" s="49"/>
      <c r="CF252" s="49"/>
      <c r="CG252" s="49"/>
      <c r="CH252" s="49"/>
      <c r="CI252" s="49"/>
      <c r="CJ252" s="49"/>
      <c r="CK252" s="49"/>
      <c r="CL252" s="49"/>
      <c r="CM252" s="49"/>
      <c r="CN252" s="49"/>
      <c r="CO252" s="49"/>
      <c r="CP252" s="49"/>
      <c r="CQ252" s="49"/>
      <c r="CR252" s="2" t="s">
        <v>764</v>
      </c>
      <c r="CS252" s="2" t="s">
        <v>764</v>
      </c>
      <c r="CT252" s="49"/>
      <c r="CU252" s="49"/>
      <c r="CV252" s="49"/>
      <c r="CW252" s="49"/>
      <c r="CX252" s="49"/>
    </row>
    <row r="253" spans="1:102" ht="18.75" customHeight="1" x14ac:dyDescent="0.25">
      <c r="A253" s="8">
        <v>187</v>
      </c>
      <c r="B253" s="2" t="s">
        <v>1810</v>
      </c>
      <c r="C253" s="2" t="s">
        <v>1811</v>
      </c>
      <c r="D253" s="29" t="s">
        <v>1812</v>
      </c>
      <c r="E253" s="29" t="s">
        <v>1813</v>
      </c>
      <c r="F253" s="18">
        <v>18637</v>
      </c>
      <c r="G253" s="8">
        <f ca="1">DATEDIF(F253, TODAY(), "Y")</f>
        <v>75</v>
      </c>
      <c r="H253" s="2" t="s">
        <v>468</v>
      </c>
      <c r="I253" s="2" t="s">
        <v>1814</v>
      </c>
      <c r="J253" s="29"/>
      <c r="K253" s="82"/>
      <c r="L253" s="1"/>
      <c r="M253" s="30"/>
      <c r="N253" s="31"/>
      <c r="O253" s="31"/>
      <c r="P253" s="49"/>
      <c r="Q253" s="38"/>
      <c r="R253" s="67"/>
      <c r="S253" s="67"/>
      <c r="T253" s="67"/>
      <c r="U253" s="2" t="str" cm="1">
        <f t="array" ref="U253">_xlfn.TEXTJOIN(", ", TRUE, IF(Y253:CG253="X", $Y$3:$CG$3, ""))</f>
        <v/>
      </c>
      <c r="V253" s="18" t="str" cm="1">
        <f t="array" ref="V253">_xlfn.TEXTJOIN(", ", TRUE, IF(Y253:CG253="X", $Y$2:$CG$2, ""))</f>
        <v/>
      </c>
      <c r="W253" s="2" t="str" cm="1">
        <f t="array" ref="W253">_xlfn.TEXTJOIN(", ", TRUE, IF(CH253:CS253="X", $CH$3:$CS$3, ""))</f>
        <v/>
      </c>
      <c r="X253" s="2" t="str" cm="1">
        <f t="array" ref="X253">_xlfn.TEXTJOIN(", ", TRUE, IF(CT253:CX253="X", $CT$3:$CX$3, ""))</f>
        <v/>
      </c>
      <c r="Y253" s="82"/>
      <c r="Z253" s="82"/>
      <c r="AA253" s="82"/>
      <c r="AB253" s="82"/>
      <c r="AC253" s="82"/>
      <c r="AD253" s="82"/>
      <c r="AE253" s="82"/>
      <c r="AF253" s="82"/>
      <c r="AG253" s="82"/>
      <c r="AH253" s="82"/>
      <c r="AI253" s="82"/>
      <c r="AJ253" s="82"/>
      <c r="AK253" s="82"/>
      <c r="AL253" s="82"/>
      <c r="AM253" s="82"/>
      <c r="AN253" s="82"/>
      <c r="AO253" s="82"/>
      <c r="AP253" s="82"/>
      <c r="AQ253" s="82"/>
      <c r="AR253" s="82"/>
      <c r="AS253" s="82"/>
      <c r="AT253" s="82"/>
      <c r="AU253" s="82"/>
      <c r="AV253" s="82"/>
      <c r="AW253" s="82"/>
      <c r="AX253" s="82"/>
      <c r="AY253" s="82"/>
      <c r="AZ253" s="82"/>
      <c r="BA253" s="82"/>
      <c r="BB253" s="82"/>
      <c r="BC253" s="82"/>
      <c r="BD253" s="49"/>
      <c r="BE253" s="82"/>
      <c r="BF253" s="82"/>
      <c r="BG253" s="82"/>
      <c r="BH253" s="82"/>
      <c r="BI253" s="82"/>
      <c r="BJ253" s="82"/>
      <c r="BK253" s="82"/>
      <c r="BL253" s="82"/>
      <c r="BM253" s="82"/>
      <c r="BN253" s="82"/>
      <c r="BO253" s="82"/>
      <c r="BP253" s="82"/>
      <c r="BQ253" s="82"/>
      <c r="BR253" s="82"/>
      <c r="BS253" s="82"/>
      <c r="BT253" s="82"/>
      <c r="BU253" s="82"/>
      <c r="BV253" s="82"/>
      <c r="BW253" s="82"/>
      <c r="BX253" s="82"/>
      <c r="BY253" s="82"/>
      <c r="BZ253" s="82"/>
      <c r="CA253" s="82"/>
      <c r="CB253" s="82"/>
      <c r="CC253" s="82"/>
      <c r="CD253" s="82"/>
      <c r="CE253" s="82"/>
      <c r="CF253" s="82"/>
      <c r="CG253" s="82"/>
      <c r="CH253" s="82"/>
      <c r="CI253" s="82"/>
      <c r="CJ253" s="82"/>
      <c r="CK253" s="82"/>
      <c r="CL253" s="82"/>
      <c r="CM253" s="82"/>
      <c r="CN253" s="82"/>
      <c r="CO253" s="82"/>
      <c r="CP253" s="82"/>
      <c r="CQ253" s="82"/>
      <c r="CR253" s="82"/>
      <c r="CS253" s="82"/>
      <c r="CT253" s="49"/>
      <c r="CU253" s="82"/>
      <c r="CV253" s="82"/>
      <c r="CW253" s="82"/>
      <c r="CX253" s="82"/>
    </row>
    <row r="254" spans="1:102" ht="18.75" customHeight="1" x14ac:dyDescent="0.25">
      <c r="A254" s="8">
        <v>189</v>
      </c>
      <c r="B254" s="2" t="s">
        <v>1822</v>
      </c>
      <c r="C254" s="2" t="s">
        <v>1823</v>
      </c>
      <c r="D254" s="29" t="s">
        <v>1824</v>
      </c>
      <c r="E254" s="29" t="s">
        <v>1825</v>
      </c>
      <c r="F254" s="18">
        <v>21113</v>
      </c>
      <c r="G254" s="8">
        <f ca="1">DATEDIF(F254, TODAY(), "Y")</f>
        <v>68</v>
      </c>
      <c r="H254" s="2" t="s">
        <v>468</v>
      </c>
      <c r="I254" s="2" t="s">
        <v>1826</v>
      </c>
      <c r="J254" s="29"/>
      <c r="L254" s="1"/>
      <c r="M254" s="30"/>
      <c r="N254" s="31"/>
      <c r="O254" s="31"/>
      <c r="P254" s="49"/>
      <c r="Q254" s="49"/>
      <c r="R254" s="18"/>
      <c r="S254" s="18"/>
      <c r="T254" s="18"/>
      <c r="U254" s="2" t="str" cm="1">
        <f t="array" ref="U254">_xlfn.TEXTJOIN(", ", TRUE, IF(Y254:CG254="X", $Y$3:$CG$3, ""))</f>
        <v/>
      </c>
      <c r="V254" s="18" t="str" cm="1">
        <f t="array" ref="V254">_xlfn.TEXTJOIN(", ", TRUE, IF(Y254:CG254="X", $Y$2:$CG$2, ""))</f>
        <v/>
      </c>
      <c r="W254" s="2" t="str" cm="1">
        <f t="array" ref="W254">_xlfn.TEXTJOIN(", ", TRUE, IF(CH254:CS254="X", $CH$3:$CS$3, ""))</f>
        <v/>
      </c>
      <c r="X254" s="2" t="str" cm="1">
        <f t="array" ref="X254">_xlfn.TEXTJOIN(", ", TRUE, IF(CT254:CX254="X", $CT$3:$CX$3, ""))</f>
        <v/>
      </c>
      <c r="AC254" s="49"/>
      <c r="BD254" s="82"/>
      <c r="CT254" s="82"/>
      <c r="CW254" s="49"/>
      <c r="CX254" s="49"/>
    </row>
    <row r="255" spans="1:102" ht="18.75" customHeight="1" x14ac:dyDescent="0.25">
      <c r="A255" s="8">
        <v>190</v>
      </c>
      <c r="B255" s="2" t="s">
        <v>1827</v>
      </c>
      <c r="C255" s="2" t="s">
        <v>1828</v>
      </c>
      <c r="D255" s="29" t="s">
        <v>1829</v>
      </c>
      <c r="E255" s="29" t="s">
        <v>1830</v>
      </c>
      <c r="F255" s="18">
        <v>19074</v>
      </c>
      <c r="G255" s="8">
        <f ca="1">DATEDIF(F255, TODAY(), "Y")</f>
        <v>74</v>
      </c>
      <c r="H255" s="2" t="s">
        <v>468</v>
      </c>
      <c r="I255" s="2" t="s">
        <v>1831</v>
      </c>
      <c r="J255" s="29"/>
      <c r="L255" s="1"/>
      <c r="M255" s="30"/>
      <c r="N255" s="31"/>
      <c r="O255" s="31"/>
      <c r="P255" s="49"/>
      <c r="Q255" s="49"/>
      <c r="R255" s="18"/>
      <c r="S255" s="18"/>
      <c r="T255" s="18"/>
      <c r="U255" s="2" t="str" cm="1">
        <f t="array" ref="U255">_xlfn.TEXTJOIN(", ", TRUE, IF(Y255:CG255="X", $Y$3:$CG$3, ""))</f>
        <v/>
      </c>
      <c r="V255" s="18" t="str" cm="1">
        <f t="array" ref="V255">_xlfn.TEXTJOIN(", ", TRUE, IF(Y255:CG255="X", $Y$2:$CG$2, ""))</f>
        <v/>
      </c>
      <c r="W255" s="2" t="str" cm="1">
        <f t="array" ref="W255">_xlfn.TEXTJOIN(", ", TRUE, IF(CH255:CS255="X", $CH$3:$CS$3, ""))</f>
        <v/>
      </c>
      <c r="X255" s="2" t="str" cm="1">
        <f t="array" ref="X255">_xlfn.TEXTJOIN(", ", TRUE, IF(CT255:CX255="X", $CT$3:$CX$3, ""))</f>
        <v/>
      </c>
      <c r="AC255" s="82"/>
      <c r="CW255" s="82"/>
      <c r="CX255" s="82"/>
    </row>
    <row r="256" spans="1:102" ht="18.75" customHeight="1" x14ac:dyDescent="0.25">
      <c r="A256" s="8">
        <v>191</v>
      </c>
      <c r="B256" s="2" t="s">
        <v>1832</v>
      </c>
      <c r="C256" s="2" t="s">
        <v>1833</v>
      </c>
      <c r="D256" s="29" t="s">
        <v>1834</v>
      </c>
      <c r="E256" s="29" t="s">
        <v>1835</v>
      </c>
      <c r="F256" s="18">
        <v>24216</v>
      </c>
      <c r="G256" s="8">
        <f ca="1">DATEDIF(F256, TODAY(), "Y")</f>
        <v>60</v>
      </c>
      <c r="H256" s="2" t="s">
        <v>468</v>
      </c>
      <c r="I256" s="2" t="s">
        <v>1836</v>
      </c>
      <c r="J256" s="29"/>
      <c r="L256" s="1"/>
      <c r="M256" s="30"/>
      <c r="N256" s="31"/>
      <c r="O256" s="31"/>
      <c r="P256" s="49"/>
      <c r="Q256" s="49"/>
      <c r="R256" s="18"/>
      <c r="S256" s="18"/>
      <c r="T256" s="18"/>
      <c r="U256" s="2" t="str" cm="1">
        <f t="array" ref="U256">_xlfn.TEXTJOIN(", ", TRUE, IF(Y256:CG256="X", $Y$3:$CG$3, ""))</f>
        <v/>
      </c>
      <c r="V256" s="18" t="str" cm="1">
        <f t="array" ref="V256">_xlfn.TEXTJOIN(", ", TRUE, IF(Y256:CG256="X", $Y$2:$CG$2, ""))</f>
        <v/>
      </c>
      <c r="W256" s="2" t="str" cm="1">
        <f t="array" ref="W256">_xlfn.TEXTJOIN(", ", TRUE, IF(CH256:CS256="X", $CH$3:$CS$3, ""))</f>
        <v/>
      </c>
      <c r="X256" s="2" t="str" cm="1">
        <f t="array" ref="X256">_xlfn.TEXTJOIN(", ", TRUE, IF(CT256:CX256="X", $CT$3:$CX$3, ""))</f>
        <v/>
      </c>
      <c r="AJ256" s="49"/>
      <c r="BD256" s="49"/>
      <c r="BO256" s="49"/>
      <c r="CI256" s="49"/>
      <c r="CP256" s="49"/>
      <c r="CQ256" s="38"/>
      <c r="CT256" s="49"/>
    </row>
    <row r="257" spans="1:98" ht="18.75" customHeight="1" x14ac:dyDescent="0.25">
      <c r="A257" s="8">
        <v>192</v>
      </c>
      <c r="B257" s="2" t="s">
        <v>1837</v>
      </c>
      <c r="C257" s="2" t="s">
        <v>1838</v>
      </c>
      <c r="D257" s="29" t="s">
        <v>1839</v>
      </c>
      <c r="E257" s="29" t="s">
        <v>1840</v>
      </c>
      <c r="F257" s="18">
        <v>17709</v>
      </c>
      <c r="G257" s="8">
        <f ca="1">DATEDIF(F257, TODAY(), "Y")</f>
        <v>78</v>
      </c>
      <c r="H257" s="2" t="s">
        <v>468</v>
      </c>
      <c r="I257" s="2" t="s">
        <v>1841</v>
      </c>
      <c r="J257" s="29"/>
      <c r="L257" s="1">
        <v>607441875</v>
      </c>
      <c r="M257" s="30"/>
      <c r="N257" s="31"/>
      <c r="O257" s="31"/>
      <c r="P257" s="2" t="s">
        <v>1842</v>
      </c>
      <c r="Q257" s="2"/>
      <c r="R257" s="18"/>
      <c r="S257" s="18"/>
      <c r="T257" s="18"/>
      <c r="U257" s="2" t="str" cm="1">
        <f t="array" ref="U257">_xlfn.TEXTJOIN(", ", TRUE, IF(Y257:CG257="X", $Y$3:$CG$3, ""))</f>
        <v/>
      </c>
      <c r="V257" s="18" t="str" cm="1">
        <f t="array" ref="V257">_xlfn.TEXTJOIN(", ", TRUE, IF(Y257:CG257="X", $Y$2:$CG$2, ""))</f>
        <v/>
      </c>
      <c r="W257" s="2" t="str" cm="1">
        <f t="array" ref="W257">_xlfn.TEXTJOIN(", ", TRUE, IF(CH257:CS257="X", $CH$3:$CS$3, ""))</f>
        <v/>
      </c>
      <c r="X257" s="2" t="str" cm="1">
        <f t="array" ref="X257">_xlfn.TEXTJOIN(", ", TRUE, IF(CT257:CX257="X", $CT$3:$CX$3, ""))</f>
        <v/>
      </c>
      <c r="Y257" s="49"/>
      <c r="Z257" s="49"/>
      <c r="AE257" s="49"/>
      <c r="AJ257" s="82"/>
      <c r="AY257" s="49"/>
      <c r="BD257" s="82"/>
      <c r="BF257" s="49"/>
      <c r="BO257" s="49"/>
      <c r="BX257" s="49"/>
      <c r="CI257" s="49"/>
      <c r="CJ257" s="49"/>
      <c r="CL257" s="49"/>
      <c r="CP257" s="82"/>
      <c r="CQ257" s="82"/>
      <c r="CR257" s="49"/>
      <c r="CT257" s="82"/>
    </row>
    <row r="258" spans="1:98" ht="18.75" customHeight="1" x14ac:dyDescent="0.25">
      <c r="A258" s="8">
        <v>193</v>
      </c>
      <c r="B258" s="2" t="s">
        <v>1843</v>
      </c>
      <c r="C258" s="2" t="s">
        <v>1844</v>
      </c>
      <c r="D258" s="29" t="s">
        <v>1845</v>
      </c>
      <c r="E258" s="29" t="s">
        <v>1846</v>
      </c>
      <c r="F258" s="18">
        <v>19804</v>
      </c>
      <c r="G258" s="8">
        <f ca="1">DATEDIF(F258, TODAY(), "Y")</f>
        <v>72</v>
      </c>
      <c r="H258" s="2" t="s">
        <v>468</v>
      </c>
      <c r="I258" s="2" t="s">
        <v>1847</v>
      </c>
      <c r="J258" s="29"/>
      <c r="L258" s="1"/>
      <c r="M258" s="76"/>
      <c r="N258" s="77"/>
      <c r="O258" s="31"/>
      <c r="P258" s="49"/>
      <c r="Q258" s="49"/>
      <c r="R258" s="18"/>
      <c r="S258" s="18"/>
      <c r="T258" s="18"/>
      <c r="U258" s="2" t="str" cm="1">
        <f t="array" ref="U258">_xlfn.TEXTJOIN(", ", TRUE, IF(Y258:CG258="X", $Y$3:$CG$3, ""))</f>
        <v/>
      </c>
      <c r="V258" s="18" t="str" cm="1">
        <f t="array" ref="V258">_xlfn.TEXTJOIN(", ", TRUE, IF(Y258:CG258="X", $Y$2:$CG$2, ""))</f>
        <v/>
      </c>
      <c r="W258" s="2" t="str" cm="1">
        <f t="array" ref="W258">_xlfn.TEXTJOIN(", ", TRUE, IF(CH258:CS258="X", $CH$3:$CS$3, ""))</f>
        <v/>
      </c>
      <c r="X258" s="2" t="str" cm="1">
        <f t="array" ref="X258">_xlfn.TEXTJOIN(", ", TRUE, IF(CT258:CX258="X", $CT$3:$CX$3, ""))</f>
        <v/>
      </c>
      <c r="Y258" s="82"/>
      <c r="Z258" s="82"/>
      <c r="AE258" s="82"/>
      <c r="AY258" s="82"/>
      <c r="BA258" s="49"/>
      <c r="BB258" s="49"/>
      <c r="BC258" s="49"/>
      <c r="BF258" s="82"/>
      <c r="BO258" s="82"/>
      <c r="BX258" s="82"/>
      <c r="CI258" s="49"/>
      <c r="CJ258" s="49"/>
      <c r="CL258" s="49"/>
      <c r="CR258" s="49"/>
      <c r="CT258" s="49"/>
    </row>
    <row r="259" spans="1:98" ht="18.75" customHeight="1" x14ac:dyDescent="0.25">
      <c r="A259" s="8">
        <v>198</v>
      </c>
      <c r="B259" s="2" t="s">
        <v>1870</v>
      </c>
      <c r="C259" s="2" t="s">
        <v>1871</v>
      </c>
      <c r="D259" s="29" t="s">
        <v>1872</v>
      </c>
      <c r="E259" s="29" t="s">
        <v>1873</v>
      </c>
      <c r="F259" s="18">
        <v>10655</v>
      </c>
      <c r="G259" s="8">
        <f ca="1">DATEDIF(F259, TODAY(), "Y")</f>
        <v>97</v>
      </c>
      <c r="H259" s="2" t="s">
        <v>468</v>
      </c>
      <c r="I259" s="2" t="s">
        <v>1874</v>
      </c>
      <c r="J259" s="29"/>
      <c r="L259" s="1">
        <v>647014726</v>
      </c>
      <c r="M259" s="30"/>
      <c r="N259" s="31"/>
      <c r="O259" s="31"/>
      <c r="P259" s="2" t="s">
        <v>1875</v>
      </c>
      <c r="Q259" s="2"/>
      <c r="R259" s="18"/>
      <c r="S259" s="18"/>
      <c r="T259" s="18"/>
      <c r="U259" s="2" t="str" cm="1">
        <f t="array" ref="U259">_xlfn.TEXTJOIN(", ", TRUE, IF(Y259:CG259="X", $Y$3:$CG$3, ""))</f>
        <v/>
      </c>
      <c r="V259" s="18" t="str" cm="1">
        <f t="array" ref="V259">_xlfn.TEXTJOIN(", ", TRUE, IF(Y259:CG259="X", $Y$2:$CG$2, ""))</f>
        <v/>
      </c>
      <c r="W259" s="2" t="str" cm="1">
        <f t="array" ref="W259">_xlfn.TEXTJOIN(", ", TRUE, IF(CH259:CS259="X", $CH$3:$CS$3, ""))</f>
        <v/>
      </c>
      <c r="X259" s="2" t="str" cm="1">
        <f t="array" ref="X259">_xlfn.TEXTJOIN(", ", TRUE, IF(CT259:CX259="X", $CT$3:$CX$3, ""))</f>
        <v/>
      </c>
      <c r="BA259" s="49"/>
      <c r="BB259" s="82"/>
      <c r="BC259" s="49"/>
      <c r="CI259" s="82"/>
      <c r="CJ259" s="82"/>
      <c r="CL259" s="82"/>
      <c r="CR259" s="82"/>
      <c r="CT259" s="49"/>
    </row>
    <row r="260" spans="1:98" ht="18.75" customHeight="1" x14ac:dyDescent="0.25">
      <c r="A260" s="8">
        <v>199</v>
      </c>
      <c r="B260" s="2" t="s">
        <v>1870</v>
      </c>
      <c r="C260" s="2" t="s">
        <v>1871</v>
      </c>
      <c r="D260" s="29" t="s">
        <v>1872</v>
      </c>
      <c r="E260" s="29" t="s">
        <v>1873</v>
      </c>
      <c r="F260" s="18">
        <v>21309</v>
      </c>
      <c r="G260" s="8">
        <f ca="1">DATEDIF(F260, TODAY(), "Y")</f>
        <v>68</v>
      </c>
      <c r="H260" s="2" t="s">
        <v>585</v>
      </c>
      <c r="I260" s="2" t="s">
        <v>1874</v>
      </c>
      <c r="J260" s="29"/>
      <c r="L260" s="1">
        <v>617701766</v>
      </c>
      <c r="M260" s="30"/>
      <c r="N260" s="31"/>
      <c r="O260" s="31"/>
      <c r="P260" s="2" t="s">
        <v>1876</v>
      </c>
      <c r="Q260" s="2"/>
      <c r="R260" s="18"/>
      <c r="S260" s="18"/>
      <c r="T260" s="18"/>
      <c r="U260" s="2" t="str" cm="1">
        <f t="array" ref="U260">_xlfn.TEXTJOIN(", ", TRUE, IF(Y260:CG260="X", $Y$3:$CG$3, ""))</f>
        <v/>
      </c>
      <c r="V260" s="18" t="str" cm="1">
        <f t="array" ref="V260">_xlfn.TEXTJOIN(", ", TRUE, IF(Y260:CG260="X", $Y$2:$CG$2, ""))</f>
        <v/>
      </c>
      <c r="W260" s="2" t="str" cm="1">
        <f t="array" ref="W260">_xlfn.TEXTJOIN(", ", TRUE, IF(CH260:CS260="X", $CH$3:$CS$3, ""))</f>
        <v/>
      </c>
      <c r="X260" s="2" t="str" cm="1">
        <f t="array" ref="X260">_xlfn.TEXTJOIN(", ", TRUE, IF(CT260:CX260="X", $CT$3:$CX$3, ""))</f>
        <v/>
      </c>
      <c r="AN260" s="49"/>
      <c r="BA260" s="49"/>
      <c r="BC260" s="82"/>
      <c r="BD260" s="49"/>
      <c r="BF260" s="49"/>
      <c r="BO260" s="49"/>
      <c r="CB260" s="49"/>
      <c r="CF260" s="49"/>
      <c r="CI260" s="49"/>
      <c r="CJ260" s="49"/>
      <c r="CL260" s="49"/>
      <c r="CR260" s="49"/>
      <c r="CT260" s="49"/>
    </row>
    <row r="261" spans="1:98" ht="18.75" customHeight="1" x14ac:dyDescent="0.25">
      <c r="A261" s="8">
        <v>200</v>
      </c>
      <c r="B261" s="2" t="s">
        <v>1877</v>
      </c>
      <c r="C261" s="2" t="s">
        <v>1878</v>
      </c>
      <c r="D261" s="29" t="s">
        <v>1879</v>
      </c>
      <c r="E261" s="29" t="s">
        <v>1880</v>
      </c>
      <c r="F261" s="18">
        <v>13631</v>
      </c>
      <c r="G261" s="8">
        <f ca="1">DATEDIF(F261, TODAY(), "Y")</f>
        <v>89</v>
      </c>
      <c r="H261" s="2" t="s">
        <v>468</v>
      </c>
      <c r="I261" s="2" t="s">
        <v>1881</v>
      </c>
      <c r="J261" s="29"/>
      <c r="L261" s="1"/>
      <c r="M261" s="30"/>
      <c r="N261" s="31"/>
      <c r="O261" s="31"/>
      <c r="P261" s="49"/>
      <c r="Q261" s="49"/>
      <c r="R261" s="18"/>
      <c r="S261" s="18"/>
      <c r="T261" s="18"/>
      <c r="U261" s="2" t="str" cm="1">
        <f t="array" ref="U261">_xlfn.TEXTJOIN(", ", TRUE, IF(Y261:CG261="X", $Y$3:$CG$3, ""))</f>
        <v/>
      </c>
      <c r="V261" s="18" t="str" cm="1">
        <f t="array" ref="V261">_xlfn.TEXTJOIN(", ", TRUE, IF(Y261:CG261="X", $Y$2:$CG$2, ""))</f>
        <v/>
      </c>
      <c r="W261" s="2" t="str" cm="1">
        <f t="array" ref="W261">_xlfn.TEXTJOIN(", ", TRUE, IF(CH261:CS261="X", $CH$3:$CS$3, ""))</f>
        <v/>
      </c>
      <c r="X261" s="2" t="str" cm="1">
        <f t="array" ref="X261">_xlfn.TEXTJOIN(", ", TRUE, IF(CT261:CX261="X", $CT$3:$CX$3, ""))</f>
        <v/>
      </c>
      <c r="Z261" s="49"/>
      <c r="AK261" s="49"/>
      <c r="AN261" s="82"/>
      <c r="AS261" s="49"/>
      <c r="AZ261" s="49"/>
      <c r="BA261" s="82"/>
      <c r="BD261" s="49"/>
      <c r="BF261" s="82"/>
      <c r="BO261" s="49"/>
      <c r="CB261" s="82"/>
      <c r="CF261" s="82"/>
      <c r="CI261" s="49"/>
      <c r="CJ261" s="49"/>
      <c r="CL261" s="49"/>
      <c r="CR261" s="49"/>
      <c r="CT261" s="82"/>
    </row>
    <row r="262" spans="1:98" ht="18.75" customHeight="1" x14ac:dyDescent="0.25">
      <c r="A262" s="8">
        <v>201</v>
      </c>
      <c r="B262" s="2" t="s">
        <v>1882</v>
      </c>
      <c r="C262" s="2" t="s">
        <v>1883</v>
      </c>
      <c r="D262" s="29" t="s">
        <v>1884</v>
      </c>
      <c r="E262" s="29" t="s">
        <v>1885</v>
      </c>
      <c r="F262" s="18">
        <v>21187</v>
      </c>
      <c r="G262" s="8">
        <f ca="1">DATEDIF(F262, TODAY(), "Y")</f>
        <v>68</v>
      </c>
      <c r="H262" s="2" t="s">
        <v>468</v>
      </c>
      <c r="I262" s="2" t="s">
        <v>1886</v>
      </c>
      <c r="J262" s="29"/>
      <c r="L262" s="1" t="s">
        <v>1887</v>
      </c>
      <c r="M262" s="30"/>
      <c r="N262" s="31"/>
      <c r="O262" s="31"/>
      <c r="P262" s="2" t="s">
        <v>1888</v>
      </c>
      <c r="Q262" s="2" t="s">
        <v>3020</v>
      </c>
      <c r="R262" s="2" t="s">
        <v>772</v>
      </c>
      <c r="S262" s="2"/>
      <c r="T262" s="2"/>
      <c r="U262" s="2" t="str" cm="1">
        <f t="array" ref="U262">_xlfn.TEXTJOIN(", ", TRUE, IF(Y262:CG262="X", $Y$3:$CG$3, ""))</f>
        <v>Behi haragia</v>
      </c>
      <c r="V262" s="18" t="str" cm="1">
        <f t="array" ref="V262">_xlfn.TEXTJOIN(", ", TRUE, IF(Y262:CG262="X", $Y$2:$CG$2, ""))</f>
        <v>HARAGIA</v>
      </c>
      <c r="W262" s="2" t="str" cm="1">
        <f t="array" ref="W262">_xlfn.TEXTJOIN(", ", TRUE, IF(CH262:CS262="X", $CH$3:$CS$3, ""))</f>
        <v>Harategian, Bertatik Bertara</v>
      </c>
      <c r="X262" s="2" t="str" cm="1">
        <f t="array" ref="X262">_xlfn.TEXTJOIN(", ", TRUE, IF(CT262:CX262="X", $CT$3:$CX$3, ""))</f>
        <v/>
      </c>
      <c r="Z262" s="82"/>
      <c r="AJ262" s="65" t="s">
        <v>764</v>
      </c>
      <c r="AK262" s="82"/>
      <c r="AS262" s="49"/>
      <c r="AZ262" s="82"/>
      <c r="BD262" s="82"/>
      <c r="BF262" s="49"/>
      <c r="BO262" s="82"/>
      <c r="CF262" s="49"/>
      <c r="CI262" s="82"/>
      <c r="CJ262" s="82"/>
      <c r="CL262" s="65" t="s">
        <v>764</v>
      </c>
      <c r="CR262" s="65" t="s">
        <v>764</v>
      </c>
    </row>
    <row r="263" spans="1:98" ht="18.75" customHeight="1" x14ac:dyDescent="0.25">
      <c r="A263" s="8">
        <v>202</v>
      </c>
      <c r="B263" s="2" t="s">
        <v>1889</v>
      </c>
      <c r="C263" s="2" t="s">
        <v>1890</v>
      </c>
      <c r="D263" s="29" t="s">
        <v>1891</v>
      </c>
      <c r="E263" s="29" t="s">
        <v>1892</v>
      </c>
      <c r="F263" s="18">
        <v>30964</v>
      </c>
      <c r="G263" s="8">
        <f ca="1">DATEDIF(F263, TODAY(), "Y")</f>
        <v>41</v>
      </c>
      <c r="H263" s="2" t="s">
        <v>1893</v>
      </c>
      <c r="I263" s="2" t="s">
        <v>1894</v>
      </c>
      <c r="J263" s="29"/>
      <c r="L263" s="1"/>
      <c r="M263" s="30"/>
      <c r="N263" s="31"/>
      <c r="O263" s="35"/>
      <c r="P263" s="82"/>
      <c r="Q263" s="82"/>
      <c r="R263" s="18"/>
      <c r="S263" s="18"/>
      <c r="T263" s="18"/>
      <c r="U263" s="2" t="str" cm="1">
        <f t="array" ref="U263">_xlfn.TEXTJOIN(", ", TRUE, IF(Y263:CG263="X", $Y$3:$CG$3, ""))</f>
        <v/>
      </c>
      <c r="V263" s="18" t="str" cm="1">
        <f t="array" ref="V263">_xlfn.TEXTJOIN(", ", TRUE, IF(Y263:CG263="X", $Y$2:$CG$2, ""))</f>
        <v/>
      </c>
      <c r="W263" s="2" t="str" cm="1">
        <f t="array" ref="W263">_xlfn.TEXTJOIN(", ", TRUE, IF(CH263:CS263="X", $CH$3:$CS$3, ""))</f>
        <v/>
      </c>
      <c r="X263" s="2" t="str" cm="1">
        <f t="array" ref="X263">_xlfn.TEXTJOIN(", ", TRUE, IF(CT263:CX263="X", $CT$3:$CX$3, ""))</f>
        <v/>
      </c>
      <c r="AS263" s="82"/>
      <c r="BF263" s="82"/>
      <c r="CF263" s="82"/>
    </row>
    <row r="264" spans="1:98" ht="18.75" customHeight="1" x14ac:dyDescent="0.25">
      <c r="A264" s="8">
        <v>203</v>
      </c>
      <c r="B264" s="2" t="s">
        <v>1895</v>
      </c>
      <c r="C264" s="2" t="s">
        <v>1896</v>
      </c>
      <c r="D264" s="29" t="s">
        <v>1897</v>
      </c>
      <c r="E264" s="29" t="s">
        <v>1898</v>
      </c>
      <c r="F264" s="18">
        <v>29961</v>
      </c>
      <c r="G264" s="8">
        <f ca="1">DATEDIF(F264, TODAY(), "Y")</f>
        <v>44</v>
      </c>
      <c r="H264" s="2" t="s">
        <v>1893</v>
      </c>
      <c r="I264" s="2" t="s">
        <v>1562</v>
      </c>
      <c r="J264" s="29"/>
      <c r="L264" s="1"/>
      <c r="M264" s="30"/>
      <c r="N264" s="31"/>
      <c r="O264" s="31"/>
      <c r="P264" s="49"/>
      <c r="Q264" s="49"/>
      <c r="R264" s="18"/>
      <c r="S264" s="18"/>
      <c r="T264" s="18"/>
      <c r="U264" s="2" t="str" cm="1">
        <f t="array" ref="U264">_xlfn.TEXTJOIN(", ", TRUE, IF(Y264:CG264="X", $Y$3:$CG$3, ""))</f>
        <v/>
      </c>
      <c r="V264" s="18" t="str" cm="1">
        <f t="array" ref="V264">_xlfn.TEXTJOIN(", ", TRUE, IF(Y264:CG264="X", $Y$2:$CG$2, ""))</f>
        <v/>
      </c>
      <c r="W264" s="2" t="str" cm="1">
        <f t="array" ref="W264">_xlfn.TEXTJOIN(", ", TRUE, IF(CH264:CS264="X", $CH$3:$CS$3, ""))</f>
        <v/>
      </c>
      <c r="X264" s="2" t="str" cm="1">
        <f t="array" ref="X264">_xlfn.TEXTJOIN(", ", TRUE, IF(CT264:CX264="X", $CT$3:$CX$3, ""))</f>
        <v/>
      </c>
      <c r="AJ264" s="49"/>
      <c r="BF264" s="49"/>
      <c r="CR264" s="49"/>
    </row>
    <row r="265" spans="1:98" ht="18.75" customHeight="1" x14ac:dyDescent="0.25">
      <c r="A265" s="8">
        <v>204</v>
      </c>
      <c r="B265" s="2" t="s">
        <v>1899</v>
      </c>
      <c r="C265" s="2" t="s">
        <v>1900</v>
      </c>
      <c r="D265" s="29" t="s">
        <v>1901</v>
      </c>
      <c r="E265" s="29" t="s">
        <v>1902</v>
      </c>
      <c r="F265" s="18">
        <v>27337</v>
      </c>
      <c r="G265" s="8">
        <f ca="1">DATEDIF(F265, TODAY(), "Y")</f>
        <v>51</v>
      </c>
      <c r="H265" s="2" t="s">
        <v>1893</v>
      </c>
      <c r="I265" s="2" t="s">
        <v>1903</v>
      </c>
      <c r="J265" s="29"/>
      <c r="L265" s="1"/>
      <c r="M265" s="30"/>
      <c r="N265" s="31"/>
      <c r="O265" s="31"/>
      <c r="P265" s="49"/>
      <c r="Q265" s="49"/>
      <c r="R265" s="18"/>
      <c r="S265" s="18"/>
      <c r="T265" s="18"/>
      <c r="U265" s="2" t="str" cm="1">
        <f t="array" ref="U265">_xlfn.TEXTJOIN(", ", TRUE, IF(Y265:CG265="X", $Y$3:$CG$3, ""))</f>
        <v/>
      </c>
      <c r="V265" s="18" t="str" cm="1">
        <f t="array" ref="V265">_xlfn.TEXTJOIN(", ", TRUE, IF(Y265:CG265="X", $Y$2:$CG$2, ""))</f>
        <v/>
      </c>
      <c r="W265" s="2" t="str" cm="1">
        <f t="array" ref="W265">_xlfn.TEXTJOIN(", ", TRUE, IF(CH265:CS265="X", $CH$3:$CS$3, ""))</f>
        <v/>
      </c>
      <c r="X265" s="2" t="str" cm="1">
        <f t="array" ref="X265">_xlfn.TEXTJOIN(", ", TRUE, IF(CT265:CX265="X", $CT$3:$CX$3, ""))</f>
        <v/>
      </c>
      <c r="AJ265" s="82"/>
      <c r="BF265" s="82"/>
      <c r="CR265" s="82"/>
    </row>
    <row r="266" spans="1:98" ht="18.75" customHeight="1" x14ac:dyDescent="0.25">
      <c r="A266" s="8">
        <v>205</v>
      </c>
      <c r="B266" s="2" t="s">
        <v>1899</v>
      </c>
      <c r="C266" s="2" t="s">
        <v>1900</v>
      </c>
      <c r="D266" s="29" t="s">
        <v>1901</v>
      </c>
      <c r="E266" s="29" t="s">
        <v>1902</v>
      </c>
      <c r="F266" s="18"/>
      <c r="G266" s="8">
        <f ca="1">DATEDIF(F266, TODAY(), "Y")</f>
        <v>126</v>
      </c>
      <c r="H266" s="2" t="s">
        <v>1893</v>
      </c>
      <c r="I266" s="2" t="s">
        <v>1904</v>
      </c>
      <c r="J266" s="29"/>
      <c r="L266" s="1"/>
      <c r="M266" s="30"/>
      <c r="N266" s="31"/>
      <c r="O266" s="31"/>
      <c r="P266" s="49"/>
      <c r="Q266" s="49"/>
      <c r="R266" s="49"/>
      <c r="S266" s="49"/>
      <c r="T266" s="49"/>
      <c r="U266" s="2" t="str" cm="1">
        <f t="array" ref="U266">_xlfn.TEXTJOIN(", ", TRUE, IF(Y266:CG266="X", $Y$3:$CG$3, ""))</f>
        <v/>
      </c>
      <c r="V266" s="18" t="str" cm="1">
        <f t="array" ref="V266">_xlfn.TEXTJOIN(", ", TRUE, IF(Y266:CG266="X", $Y$2:$CG$2, ""))</f>
        <v/>
      </c>
      <c r="W266" s="2" t="str" cm="1">
        <f t="array" ref="W266">_xlfn.TEXTJOIN(", ", TRUE, IF(CH266:CS266="X", $CH$3:$CS$3, ""))</f>
        <v/>
      </c>
      <c r="X266" s="2" t="str" cm="1">
        <f t="array" ref="X266">_xlfn.TEXTJOIN(", ", TRUE, IF(CT266:CX266="X", $CT$3:$CX$3, ""))</f>
        <v/>
      </c>
    </row>
    <row r="267" spans="1:98" ht="18.75" customHeight="1" x14ac:dyDescent="0.25">
      <c r="A267" s="8">
        <v>206</v>
      </c>
      <c r="B267" s="2" t="s">
        <v>1905</v>
      </c>
      <c r="C267" s="2" t="s">
        <v>1906</v>
      </c>
      <c r="D267" s="29" t="s">
        <v>1907</v>
      </c>
      <c r="E267" s="29" t="s">
        <v>1908</v>
      </c>
      <c r="F267" s="18">
        <v>27021</v>
      </c>
      <c r="G267" s="8">
        <f ca="1">DATEDIF(F267, TODAY(), "Y")</f>
        <v>52</v>
      </c>
      <c r="H267" s="2" t="s">
        <v>1893</v>
      </c>
      <c r="I267" s="2" t="s">
        <v>1909</v>
      </c>
      <c r="J267" s="29"/>
      <c r="L267" s="1"/>
      <c r="M267" s="30"/>
      <c r="N267" s="31"/>
      <c r="O267" s="31"/>
      <c r="P267" s="49"/>
      <c r="Q267" s="49"/>
      <c r="R267" s="18"/>
      <c r="S267" s="18"/>
      <c r="T267" s="18"/>
      <c r="U267" s="2" t="str" cm="1">
        <f t="array" ref="U267">_xlfn.TEXTJOIN(", ", TRUE, IF(Y267:CG267="X", $Y$3:$CG$3, ""))</f>
        <v/>
      </c>
      <c r="V267" s="18" t="str" cm="1">
        <f t="array" ref="V267">_xlfn.TEXTJOIN(", ", TRUE, IF(Y267:CG267="X", $Y$2:$CG$2, ""))</f>
        <v/>
      </c>
      <c r="W267" s="2" t="str" cm="1">
        <f t="array" ref="W267">_xlfn.TEXTJOIN(", ", TRUE, IF(CH267:CS267="X", $CH$3:$CS$3, ""))</f>
        <v/>
      </c>
      <c r="X267" s="2" t="str" cm="1">
        <f t="array" ref="X267">_xlfn.TEXTJOIN(", ", TRUE, IF(CT267:CX267="X", $CT$3:$CX$3, ""))</f>
        <v/>
      </c>
    </row>
    <row r="268" spans="1:98" ht="18.75" customHeight="1" x14ac:dyDescent="0.25">
      <c r="A268" s="8">
        <v>207</v>
      </c>
      <c r="B268" s="2" t="s">
        <v>1910</v>
      </c>
      <c r="C268" s="2" t="s">
        <v>1911</v>
      </c>
      <c r="D268" s="29" t="s">
        <v>1912</v>
      </c>
      <c r="E268" s="29" t="s">
        <v>1913</v>
      </c>
      <c r="F268" s="18">
        <v>20828</v>
      </c>
      <c r="G268" s="8">
        <f ca="1">DATEDIF(F268, TODAY(), "Y")</f>
        <v>69</v>
      </c>
      <c r="H268" s="2" t="s">
        <v>1893</v>
      </c>
      <c r="I268" s="2" t="s">
        <v>1914</v>
      </c>
      <c r="J268" s="29"/>
      <c r="L268" s="1"/>
      <c r="M268" s="30"/>
      <c r="N268" s="31"/>
      <c r="O268" s="31"/>
      <c r="P268" s="49"/>
      <c r="Q268" s="49"/>
      <c r="R268" s="18"/>
      <c r="S268" s="18"/>
      <c r="T268" s="18"/>
      <c r="U268" s="2" t="str" cm="1">
        <f t="array" ref="U268">_xlfn.TEXTJOIN(", ", TRUE, IF(Y268:CG268="X", $Y$3:$CG$3, ""))</f>
        <v/>
      </c>
      <c r="V268" s="18" t="str" cm="1">
        <f t="array" ref="V268">_xlfn.TEXTJOIN(", ", TRUE, IF(Y268:CG268="X", $Y$2:$CG$2, ""))</f>
        <v/>
      </c>
      <c r="W268" s="2" t="str" cm="1">
        <f t="array" ref="W268">_xlfn.TEXTJOIN(", ", TRUE, IF(CH268:CS268="X", $CH$3:$CS$3, ""))</f>
        <v/>
      </c>
      <c r="X268" s="2" t="str" cm="1">
        <f t="array" ref="X268">_xlfn.TEXTJOIN(", ", TRUE, IF(CT268:CX268="X", $CT$3:$CX$3, ""))</f>
        <v/>
      </c>
      <c r="Z268" s="49"/>
      <c r="AC268" s="49"/>
      <c r="AK268" s="49"/>
      <c r="AS268" s="49"/>
      <c r="BD268" s="49"/>
      <c r="CB268" s="49"/>
      <c r="CF268" s="49"/>
      <c r="CL268" s="49"/>
      <c r="CR268" s="49"/>
    </row>
    <row r="269" spans="1:98" ht="18.75" customHeight="1" x14ac:dyDescent="0.25">
      <c r="A269" s="8">
        <v>208</v>
      </c>
      <c r="B269" s="2" t="s">
        <v>1910</v>
      </c>
      <c r="C269" s="2" t="s">
        <v>1911</v>
      </c>
      <c r="D269" s="29" t="s">
        <v>1912</v>
      </c>
      <c r="E269" s="29" t="s">
        <v>1913</v>
      </c>
      <c r="F269" s="18">
        <v>17166</v>
      </c>
      <c r="G269" s="8">
        <f ca="1">DATEDIF(F269, TODAY(), "Y")</f>
        <v>79</v>
      </c>
      <c r="H269" s="2" t="s">
        <v>1893</v>
      </c>
      <c r="I269" s="2" t="s">
        <v>1915</v>
      </c>
      <c r="J269" s="29"/>
      <c r="L269" s="1"/>
      <c r="M269" s="30"/>
      <c r="N269" s="31"/>
      <c r="O269" s="31"/>
      <c r="P269" s="49"/>
      <c r="Q269" s="49"/>
      <c r="R269" s="18"/>
      <c r="S269" s="18"/>
      <c r="T269" s="18"/>
      <c r="U269" s="2" t="str" cm="1">
        <f t="array" ref="U269">_xlfn.TEXTJOIN(", ", TRUE, IF(Y269:CG269="X", $Y$3:$CG$3, ""))</f>
        <v/>
      </c>
      <c r="V269" s="18" t="str" cm="1">
        <f t="array" ref="V269">_xlfn.TEXTJOIN(", ", TRUE, IF(Y269:CG269="X", $Y$2:$CG$2, ""))</f>
        <v/>
      </c>
      <c r="W269" s="2" t="str" cm="1">
        <f t="array" ref="W269">_xlfn.TEXTJOIN(", ", TRUE, IF(CH269:CS269="X", $CH$3:$CS$3, ""))</f>
        <v/>
      </c>
      <c r="X269" s="2" t="str" cm="1">
        <f t="array" ref="X269">_xlfn.TEXTJOIN(", ", TRUE, IF(CT269:CX269="X", $CT$3:$CX$3, ""))</f>
        <v/>
      </c>
      <c r="Z269" s="82"/>
      <c r="AC269" s="82"/>
      <c r="AK269" s="82"/>
      <c r="AS269" s="82"/>
      <c r="BD269" s="82"/>
      <c r="CB269" s="82"/>
      <c r="CF269" s="82"/>
      <c r="CL269" s="82"/>
      <c r="CR269" s="82"/>
    </row>
    <row r="270" spans="1:98" ht="18.75" customHeight="1" x14ac:dyDescent="0.25">
      <c r="A270" s="8">
        <v>209</v>
      </c>
      <c r="B270" s="2" t="s">
        <v>1916</v>
      </c>
      <c r="C270" s="2" t="s">
        <v>1917</v>
      </c>
      <c r="D270" s="29" t="s">
        <v>1918</v>
      </c>
      <c r="E270" s="29" t="s">
        <v>1919</v>
      </c>
      <c r="F270" s="18"/>
      <c r="G270" s="8">
        <f ca="1">DATEDIF(F270, TODAY(), "Y")</f>
        <v>126</v>
      </c>
      <c r="H270" s="2" t="s">
        <v>1920</v>
      </c>
      <c r="I270" s="2" t="s">
        <v>1921</v>
      </c>
      <c r="J270" s="29"/>
      <c r="L270" s="1">
        <v>636383545</v>
      </c>
      <c r="M270" s="30"/>
      <c r="N270" s="31"/>
      <c r="O270" s="35"/>
      <c r="P270" s="65" t="s">
        <v>1922</v>
      </c>
      <c r="Q270" s="65"/>
      <c r="R270" s="49"/>
      <c r="S270" s="49"/>
      <c r="T270" s="49"/>
      <c r="U270" s="2" t="str" cm="1">
        <f t="array" ref="U270">_xlfn.TEXTJOIN(", ", TRUE, IF(Y270:CG270="X", $Y$3:$CG$3, ""))</f>
        <v>Barazkiak aire librean, Babarrunak, Fruta</v>
      </c>
      <c r="V270" s="18" t="str" cm="1">
        <f t="array" ref="V270">_xlfn.TEXTJOIN(", ", TRUE, IF(Y270:CG270="X", $Y$2:$CG$2, ""))</f>
        <v>BARAZKIAK, LEKALEAK, FRUTA</v>
      </c>
      <c r="W270" s="2" t="str" cm="1">
        <f t="array" ref="W270">_xlfn.TEXTJOIN(", ", TRUE, IF(CH270:CS270="X", $CH$3:$CS$3, ""))</f>
        <v/>
      </c>
      <c r="X270" s="2" t="str" cm="1">
        <f t="array" ref="X270">_xlfn.TEXTJOIN(", ", TRUE, IF(CT270:CX270="X", $CT$3:$CX$3, ""))</f>
        <v/>
      </c>
      <c r="AS270" s="3" t="s">
        <v>764</v>
      </c>
      <c r="AZ270" s="3" t="s">
        <v>764</v>
      </c>
      <c r="BD270" s="3" t="s">
        <v>764</v>
      </c>
    </row>
    <row r="271" spans="1:98" ht="18.75" customHeight="1" x14ac:dyDescent="0.25">
      <c r="A271" s="8">
        <v>210</v>
      </c>
      <c r="B271" s="2" t="s">
        <v>1923</v>
      </c>
      <c r="C271" s="2" t="s">
        <v>1924</v>
      </c>
      <c r="D271" s="29" t="s">
        <v>1925</v>
      </c>
      <c r="E271" s="29" t="s">
        <v>1926</v>
      </c>
      <c r="F271" s="18">
        <v>14157</v>
      </c>
      <c r="G271" s="8">
        <f ca="1">DATEDIF(F271, TODAY(), "Y")</f>
        <v>87</v>
      </c>
      <c r="H271" s="2" t="s">
        <v>1920</v>
      </c>
      <c r="I271" s="2" t="s">
        <v>1927</v>
      </c>
      <c r="J271" s="29"/>
      <c r="L271" s="1">
        <v>618199634</v>
      </c>
      <c r="M271" s="30"/>
      <c r="N271" s="31"/>
      <c r="O271" s="31"/>
      <c r="P271" s="2" t="s">
        <v>1928</v>
      </c>
      <c r="Q271" s="2"/>
      <c r="R271" s="18"/>
      <c r="S271" s="18"/>
      <c r="T271" s="18"/>
      <c r="U271" s="2" t="str" cm="1">
        <f t="array" ref="U271">_xlfn.TEXTJOIN(", ", TRUE, IF(Y271:CG271="X", $Y$3:$CG$3, ""))</f>
        <v/>
      </c>
      <c r="V271" s="18" t="str" cm="1">
        <f t="array" ref="V271">_xlfn.TEXTJOIN(", ", TRUE, IF(Y271:CG271="X", $Y$2:$CG$2, ""))</f>
        <v/>
      </c>
      <c r="W271" s="2" t="str" cm="1">
        <f t="array" ref="W271">_xlfn.TEXTJOIN(", ", TRUE, IF(CH271:CS271="X", $CH$3:$CS$3, ""))</f>
        <v/>
      </c>
      <c r="X271" s="2" t="str" cm="1">
        <f t="array" ref="X271">_xlfn.TEXTJOIN(", ", TRUE, IF(CT271:CX271="X", $CT$3:$CX$3, ""))</f>
        <v/>
      </c>
      <c r="AR271" s="49"/>
      <c r="AS271" s="49"/>
    </row>
    <row r="272" spans="1:98" ht="18.75" customHeight="1" x14ac:dyDescent="0.25">
      <c r="A272" s="8">
        <v>211</v>
      </c>
      <c r="B272" s="2" t="s">
        <v>1929</v>
      </c>
      <c r="C272" s="2" t="s">
        <v>1930</v>
      </c>
      <c r="D272" s="29" t="s">
        <v>1931</v>
      </c>
      <c r="E272" s="29" t="s">
        <v>1932</v>
      </c>
      <c r="F272" s="18">
        <v>15786</v>
      </c>
      <c r="G272" s="8">
        <f ca="1">DATEDIF(F272, TODAY(), "Y")</f>
        <v>83</v>
      </c>
      <c r="H272" s="2" t="s">
        <v>1920</v>
      </c>
      <c r="I272" s="2" t="s">
        <v>1933</v>
      </c>
      <c r="J272" s="29"/>
      <c r="L272" s="1">
        <v>943801754</v>
      </c>
      <c r="M272" s="30"/>
      <c r="N272" s="31"/>
      <c r="O272" s="31"/>
      <c r="P272" s="2" t="s">
        <v>1934</v>
      </c>
      <c r="Q272" s="2"/>
      <c r="R272" s="18"/>
      <c r="S272" s="18"/>
      <c r="T272" s="18"/>
      <c r="U272" s="2" t="str" cm="1">
        <f t="array" ref="U272">_xlfn.TEXTJOIN(", ", TRUE, IF(Y272:CG272="X", $Y$3:$CG$3, ""))</f>
        <v/>
      </c>
      <c r="V272" s="18" t="str" cm="1">
        <f t="array" ref="V272">_xlfn.TEXTJOIN(", ", TRUE, IF(Y272:CG272="X", $Y$2:$CG$2, ""))</f>
        <v/>
      </c>
      <c r="W272" s="2" t="str" cm="1">
        <f t="array" ref="W272">_xlfn.TEXTJOIN(", ", TRUE, IF(CH272:CS272="X", $CH$3:$CS$3, ""))</f>
        <v/>
      </c>
      <c r="X272" s="2" t="str" cm="1">
        <f t="array" ref="X272">_xlfn.TEXTJOIN(", ", TRUE, IF(CT272:CX272="X", $CT$3:$CX$3, ""))</f>
        <v/>
      </c>
      <c r="AJ272" s="49"/>
      <c r="AR272" s="82"/>
      <c r="AS272" s="82"/>
      <c r="CI272" s="49"/>
      <c r="CR272" s="49"/>
    </row>
    <row r="273" spans="1:102" ht="18.75" customHeight="1" x14ac:dyDescent="0.25">
      <c r="A273" s="8">
        <v>212</v>
      </c>
      <c r="B273" s="2" t="s">
        <v>1935</v>
      </c>
      <c r="C273" s="2" t="s">
        <v>1936</v>
      </c>
      <c r="D273" s="29" t="s">
        <v>1937</v>
      </c>
      <c r="E273" s="29" t="s">
        <v>1938</v>
      </c>
      <c r="F273" s="18">
        <v>18966</v>
      </c>
      <c r="G273" s="8">
        <f ca="1">DATEDIF(F273, TODAY(), "Y")</f>
        <v>74</v>
      </c>
      <c r="H273" s="2" t="s">
        <v>1920</v>
      </c>
      <c r="I273" s="2" t="s">
        <v>1939</v>
      </c>
      <c r="J273" s="29"/>
      <c r="L273" s="1">
        <v>943801939</v>
      </c>
      <c r="M273" s="30"/>
      <c r="N273" s="31"/>
      <c r="O273" s="31"/>
      <c r="P273" s="2" t="s">
        <v>1940</v>
      </c>
      <c r="Q273" s="2"/>
      <c r="R273" s="18"/>
      <c r="S273" s="18"/>
      <c r="T273" s="18"/>
      <c r="U273" s="2" t="str" cm="1">
        <f t="array" ref="U273">_xlfn.TEXTJOIN(", ", TRUE, IF(Y273:CG273="X", $Y$3:$CG$3, ""))</f>
        <v/>
      </c>
      <c r="V273" s="18" t="str" cm="1">
        <f t="array" ref="V273">_xlfn.TEXTJOIN(", ", TRUE, IF(Y273:CG273="X", $Y$2:$CG$2, ""))</f>
        <v/>
      </c>
      <c r="W273" s="2" t="str" cm="1">
        <f t="array" ref="W273">_xlfn.TEXTJOIN(", ", TRUE, IF(CH273:CS273="X", $CH$3:$CS$3, ""))</f>
        <v/>
      </c>
      <c r="X273" s="2" t="str" cm="1">
        <f t="array" ref="X273">_xlfn.TEXTJOIN(", ", TRUE, IF(CT273:CX273="X", $CT$3:$CX$3, ""))</f>
        <v/>
      </c>
      <c r="AJ273" s="82"/>
      <c r="CI273" s="82"/>
      <c r="CR273" s="82"/>
    </row>
    <row r="274" spans="1:102" ht="18.75" customHeight="1" x14ac:dyDescent="0.25">
      <c r="A274" s="8">
        <v>213</v>
      </c>
      <c r="B274" s="2" t="s">
        <v>1941</v>
      </c>
      <c r="C274" s="2" t="s">
        <v>1942</v>
      </c>
      <c r="D274" s="29" t="s">
        <v>1943</v>
      </c>
      <c r="E274" s="29" t="s">
        <v>1944</v>
      </c>
      <c r="F274" s="18">
        <v>16787</v>
      </c>
      <c r="G274" s="8">
        <f ca="1">DATEDIF(F274, TODAY(), "Y")</f>
        <v>80</v>
      </c>
      <c r="H274" s="2" t="s">
        <v>1920</v>
      </c>
      <c r="I274" s="2" t="s">
        <v>1945</v>
      </c>
      <c r="J274" s="29"/>
      <c r="L274" s="1">
        <v>670977370</v>
      </c>
      <c r="M274" s="30"/>
      <c r="N274" s="31"/>
      <c r="O274" s="31"/>
      <c r="P274" s="2" t="s">
        <v>1946</v>
      </c>
      <c r="Q274" s="2"/>
      <c r="R274" s="18"/>
      <c r="S274" s="18"/>
      <c r="T274" s="18"/>
      <c r="U274" s="2" t="str" cm="1">
        <f t="array" ref="U274">_xlfn.TEXTJOIN(", ", TRUE, IF(Y274:CG274="X", $Y$3:$CG$3, ""))</f>
        <v/>
      </c>
      <c r="V274" s="18" t="str" cm="1">
        <f t="array" ref="V274">_xlfn.TEXTJOIN(", ", TRUE, IF(Y274:CG274="X", $Y$2:$CG$2, ""))</f>
        <v/>
      </c>
      <c r="W274" s="2" t="str" cm="1">
        <f t="array" ref="W274">_xlfn.TEXTJOIN(", ", TRUE, IF(CH274:CS274="X", $CH$3:$CS$3, ""))</f>
        <v/>
      </c>
      <c r="X274" s="2" t="str" cm="1">
        <f t="array" ref="X274">_xlfn.TEXTJOIN(", ", TRUE, IF(CT274:CX274="X", $CT$3:$CX$3, ""))</f>
        <v/>
      </c>
      <c r="AC274" s="49"/>
      <c r="CW274" s="49"/>
      <c r="CX274" s="49"/>
    </row>
    <row r="275" spans="1:102" ht="18.75" customHeight="1" x14ac:dyDescent="0.25">
      <c r="A275" s="8">
        <v>214</v>
      </c>
      <c r="B275" s="2" t="s">
        <v>1947</v>
      </c>
      <c r="C275" s="2" t="s">
        <v>1948</v>
      </c>
      <c r="D275" s="29" t="s">
        <v>1949</v>
      </c>
      <c r="E275" s="29" t="s">
        <v>1950</v>
      </c>
      <c r="F275" s="18">
        <v>25638</v>
      </c>
      <c r="G275" s="8">
        <f ca="1">DATEDIF(F275, TODAY(), "Y")</f>
        <v>56</v>
      </c>
      <c r="H275" s="2" t="s">
        <v>1920</v>
      </c>
      <c r="I275" s="2" t="s">
        <v>1951</v>
      </c>
      <c r="J275" s="29"/>
      <c r="L275" s="1"/>
      <c r="M275" s="30"/>
      <c r="N275" s="31"/>
      <c r="O275" s="35"/>
      <c r="P275" s="82"/>
      <c r="Q275" s="82"/>
      <c r="R275" s="18"/>
      <c r="S275" s="18"/>
      <c r="T275" s="18"/>
      <c r="U275" s="2" t="str" cm="1">
        <f t="array" ref="U275">_xlfn.TEXTJOIN(", ", TRUE, IF(Y275:CG275="X", $Y$3:$CG$3, ""))</f>
        <v/>
      </c>
      <c r="V275" s="18" t="str" cm="1">
        <f t="array" ref="V275">_xlfn.TEXTJOIN(", ", TRUE, IF(Y275:CG275="X", $Y$2:$CG$2, ""))</f>
        <v/>
      </c>
      <c r="W275" s="2" t="str" cm="1">
        <f t="array" ref="W275">_xlfn.TEXTJOIN(", ", TRUE, IF(CH275:CS275="X", $CH$3:$CS$3, ""))</f>
        <v/>
      </c>
      <c r="X275" s="2" t="str" cm="1">
        <f t="array" ref="X275">_xlfn.TEXTJOIN(", ", TRUE, IF(CT275:CX275="X", $CT$3:$CX$3, ""))</f>
        <v/>
      </c>
      <c r="AC275" s="82"/>
      <c r="CW275" s="82"/>
      <c r="CX275" s="82"/>
    </row>
    <row r="276" spans="1:102" ht="18.75" customHeight="1" x14ac:dyDescent="0.25">
      <c r="A276" s="8">
        <v>215</v>
      </c>
      <c r="B276" s="2" t="s">
        <v>1952</v>
      </c>
      <c r="C276" s="2" t="s">
        <v>1953</v>
      </c>
      <c r="D276" s="29" t="s">
        <v>1954</v>
      </c>
      <c r="E276" s="29" t="s">
        <v>1955</v>
      </c>
      <c r="F276" s="18">
        <v>16864</v>
      </c>
      <c r="G276" s="8">
        <f ca="1">DATEDIF(F276, TODAY(), "Y")</f>
        <v>80</v>
      </c>
      <c r="H276" s="2" t="s">
        <v>1920</v>
      </c>
      <c r="I276" s="2" t="s">
        <v>1956</v>
      </c>
      <c r="J276" s="29"/>
      <c r="L276" s="1"/>
      <c r="M276" s="30"/>
      <c r="N276" s="31"/>
      <c r="O276" s="31"/>
      <c r="P276" s="49"/>
      <c r="Q276" s="49"/>
      <c r="R276" s="18"/>
      <c r="S276" s="18"/>
      <c r="T276" s="18"/>
      <c r="U276" s="2" t="str" cm="1">
        <f t="array" ref="U276">_xlfn.TEXTJOIN(", ", TRUE, IF(Y276:CG276="X", $Y$3:$CG$3, ""))</f>
        <v/>
      </c>
      <c r="V276" s="18" t="str" cm="1">
        <f t="array" ref="V276">_xlfn.TEXTJOIN(", ", TRUE, IF(Y276:CG276="X", $Y$2:$CG$2, ""))</f>
        <v/>
      </c>
      <c r="W276" s="2" t="str" cm="1">
        <f t="array" ref="W276">_xlfn.TEXTJOIN(", ", TRUE, IF(CH276:CS276="X", $CH$3:$CS$3, ""))</f>
        <v/>
      </c>
      <c r="X276" s="2" t="str" cm="1">
        <f t="array" ref="X276">_xlfn.TEXTJOIN(", ", TRUE, IF(CT276:CX276="X", $CT$3:$CX$3, ""))</f>
        <v/>
      </c>
    </row>
    <row r="277" spans="1:102" ht="18.75" customHeight="1" x14ac:dyDescent="0.25">
      <c r="A277" s="8">
        <v>216</v>
      </c>
      <c r="B277" s="2" t="s">
        <v>1957</v>
      </c>
      <c r="C277" s="2" t="s">
        <v>1958</v>
      </c>
      <c r="D277" s="29" t="s">
        <v>1959</v>
      </c>
      <c r="E277" s="29" t="s">
        <v>1960</v>
      </c>
      <c r="F277" s="18">
        <v>14709</v>
      </c>
      <c r="G277" s="8">
        <f ca="1">DATEDIF(F277, TODAY(), "Y")</f>
        <v>86</v>
      </c>
      <c r="H277" s="2" t="s">
        <v>1920</v>
      </c>
      <c r="I277" s="2" t="s">
        <v>1961</v>
      </c>
      <c r="J277" s="29"/>
      <c r="L277" s="1"/>
      <c r="M277" s="30"/>
      <c r="N277" s="31"/>
      <c r="O277" s="31"/>
      <c r="P277" s="49"/>
      <c r="Q277" s="49"/>
      <c r="R277" s="18"/>
      <c r="S277" s="18"/>
      <c r="T277" s="18"/>
      <c r="U277" s="2" t="str" cm="1">
        <f t="array" ref="U277">_xlfn.TEXTJOIN(", ", TRUE, IF(Y277:CG277="X", $Y$3:$CG$3, ""))</f>
        <v/>
      </c>
      <c r="V277" s="18" t="str" cm="1">
        <f t="array" ref="V277">_xlfn.TEXTJOIN(", ", TRUE, IF(Y277:CG277="X", $Y$2:$CG$2, ""))</f>
        <v/>
      </c>
      <c r="W277" s="2" t="str" cm="1">
        <f t="array" ref="W277">_xlfn.TEXTJOIN(", ", TRUE, IF(CH277:CS277="X", $CH$3:$CS$3, ""))</f>
        <v/>
      </c>
      <c r="X277" s="2" t="str" cm="1">
        <f t="array" ref="X277">_xlfn.TEXTJOIN(", ", TRUE, IF(CT277:CX277="X", $CT$3:$CX$3, ""))</f>
        <v/>
      </c>
    </row>
    <row r="278" spans="1:102" ht="18.75" customHeight="1" x14ac:dyDescent="0.25">
      <c r="A278" s="8">
        <v>217</v>
      </c>
      <c r="B278" s="2" t="s">
        <v>1962</v>
      </c>
      <c r="C278" s="2" t="s">
        <v>1963</v>
      </c>
      <c r="D278" s="29" t="s">
        <v>1964</v>
      </c>
      <c r="E278" s="29" t="s">
        <v>1965</v>
      </c>
      <c r="F278" s="18">
        <v>22551</v>
      </c>
      <c r="G278" s="8">
        <f ca="1">DATEDIF(F278, TODAY(), "Y")</f>
        <v>64</v>
      </c>
      <c r="H278" s="2" t="s">
        <v>1920</v>
      </c>
      <c r="I278" s="2" t="s">
        <v>1966</v>
      </c>
      <c r="J278" s="29"/>
      <c r="L278" s="1">
        <v>605731225</v>
      </c>
      <c r="M278" s="30"/>
      <c r="N278" s="31"/>
      <c r="O278" s="31"/>
      <c r="P278" s="2" t="s">
        <v>1967</v>
      </c>
      <c r="Q278" s="2"/>
      <c r="R278" s="18"/>
      <c r="S278" s="18"/>
      <c r="T278" s="18"/>
      <c r="U278" s="2" t="str" cm="1">
        <f t="array" ref="U278">_xlfn.TEXTJOIN(", ", TRUE, IF(Y278:CG278="X", $Y$3:$CG$3, ""))</f>
        <v/>
      </c>
      <c r="V278" s="18" t="str" cm="1">
        <f t="array" ref="V278">_xlfn.TEXTJOIN(", ", TRUE, IF(Y278:CG278="X", $Y$2:$CG$2, ""))</f>
        <v/>
      </c>
      <c r="W278" s="2" t="str" cm="1">
        <f t="array" ref="W278">_xlfn.TEXTJOIN(", ", TRUE, IF(CH278:CS278="X", $CH$3:$CS$3, ""))</f>
        <v/>
      </c>
      <c r="X278" s="2" t="str" cm="1">
        <f t="array" ref="X278">_xlfn.TEXTJOIN(", ", TRUE, IF(CT278:CX278="X", $CT$3:$CX$3, ""))</f>
        <v/>
      </c>
    </row>
    <row r="279" spans="1:102" ht="18.75" customHeight="1" x14ac:dyDescent="0.25">
      <c r="A279" s="8">
        <v>218</v>
      </c>
      <c r="B279" s="2" t="s">
        <v>1968</v>
      </c>
      <c r="C279" s="2" t="s">
        <v>1969</v>
      </c>
      <c r="D279" s="29" t="s">
        <v>1970</v>
      </c>
      <c r="E279" s="29" t="s">
        <v>1971</v>
      </c>
      <c r="F279" s="18">
        <v>22720</v>
      </c>
      <c r="G279" s="8">
        <f ca="1">DATEDIF(F279, TODAY(), "Y")</f>
        <v>64</v>
      </c>
      <c r="H279" s="2" t="s">
        <v>1920</v>
      </c>
      <c r="I279" s="2" t="s">
        <v>1972</v>
      </c>
      <c r="J279" s="29"/>
      <c r="L279" s="1">
        <v>685751512</v>
      </c>
      <c r="M279" s="30"/>
      <c r="N279" s="31"/>
      <c r="O279" s="35"/>
      <c r="P279" s="65" t="s">
        <v>1973</v>
      </c>
      <c r="Q279" s="65"/>
      <c r="R279" s="18"/>
      <c r="S279" s="18"/>
      <c r="T279" s="18"/>
      <c r="U279" s="2" t="str" cm="1">
        <f t="array" ref="U279">_xlfn.TEXTJOIN(", ", TRUE, IF(Y279:CG279="X", $Y$3:$CG$3, ""))</f>
        <v/>
      </c>
      <c r="V279" s="18" t="str" cm="1">
        <f t="array" ref="V279">_xlfn.TEXTJOIN(", ", TRUE, IF(Y279:CG279="X", $Y$2:$CG$2, ""))</f>
        <v/>
      </c>
      <c r="W279" s="2" t="str" cm="1">
        <f t="array" ref="W279">_xlfn.TEXTJOIN(", ", TRUE, IF(CH279:CS279="X", $CH$3:$CS$3, ""))</f>
        <v/>
      </c>
      <c r="X279" s="2" t="str" cm="1">
        <f t="array" ref="X279">_xlfn.TEXTJOIN(", ", TRUE, IF(CT279:CX279="X", $CT$3:$CX$3, ""))</f>
        <v/>
      </c>
    </row>
    <row r="280" spans="1:102" ht="18.75" customHeight="1" x14ac:dyDescent="0.25">
      <c r="A280" s="8">
        <v>220</v>
      </c>
      <c r="B280" s="2" t="s">
        <v>1981</v>
      </c>
      <c r="C280" s="2" t="s">
        <v>1982</v>
      </c>
      <c r="D280" s="29" t="s">
        <v>1983</v>
      </c>
      <c r="E280" s="29" t="s">
        <v>1984</v>
      </c>
      <c r="F280" s="18">
        <v>28160</v>
      </c>
      <c r="G280" s="8">
        <f ca="1">DATEDIF(F280, TODAY(), "Y")</f>
        <v>49</v>
      </c>
      <c r="H280" s="2" t="s">
        <v>1920</v>
      </c>
      <c r="I280" s="2" t="s">
        <v>1985</v>
      </c>
      <c r="J280" s="29"/>
      <c r="L280" s="1"/>
      <c r="M280" s="30"/>
      <c r="N280" s="31"/>
      <c r="O280" s="35"/>
      <c r="R280" s="18"/>
      <c r="S280" s="18"/>
      <c r="T280" s="18"/>
      <c r="U280" s="2" t="str" cm="1">
        <f t="array" ref="U280">_xlfn.TEXTJOIN(", ", TRUE, IF(Y280:CG280="X", $Y$3:$CG$3, ""))</f>
        <v/>
      </c>
      <c r="V280" s="18" t="str" cm="1">
        <f t="array" ref="V280">_xlfn.TEXTJOIN(", ", TRUE, IF(Y280:CG280="X", $Y$2:$CG$2, ""))</f>
        <v/>
      </c>
      <c r="W280" s="2" t="str" cm="1">
        <f t="array" ref="W280">_xlfn.TEXTJOIN(", ", TRUE, IF(CH280:CS280="X", $CH$3:$CS$3, ""))</f>
        <v/>
      </c>
      <c r="X280" s="2" t="str" cm="1">
        <f t="array" ref="X280">_xlfn.TEXTJOIN(", ", TRUE, IF(CT280:CX280="X", $CT$3:$CX$3, ""))</f>
        <v/>
      </c>
    </row>
    <row r="281" spans="1:102" ht="18.75" customHeight="1" x14ac:dyDescent="0.25">
      <c r="A281" s="8">
        <v>221</v>
      </c>
      <c r="B281" s="2" t="s">
        <v>1986</v>
      </c>
      <c r="C281" s="2" t="s">
        <v>1987</v>
      </c>
      <c r="D281" s="29" t="s">
        <v>1988</v>
      </c>
      <c r="E281" s="29" t="s">
        <v>1989</v>
      </c>
      <c r="F281" s="18">
        <v>20926</v>
      </c>
      <c r="G281" s="8">
        <f ca="1">DATEDIF(F281, TODAY(), "Y")</f>
        <v>69</v>
      </c>
      <c r="H281" s="2" t="s">
        <v>1920</v>
      </c>
      <c r="I281" s="2" t="s">
        <v>1990</v>
      </c>
      <c r="J281" s="29"/>
      <c r="L281" s="1"/>
      <c r="M281" s="30"/>
      <c r="N281" s="31"/>
      <c r="O281" s="31"/>
      <c r="P281" s="49"/>
      <c r="Q281" s="49"/>
      <c r="R281" s="18"/>
      <c r="S281" s="18"/>
      <c r="T281" s="18"/>
      <c r="U281" s="2" t="str" cm="1">
        <f t="array" ref="U281">_xlfn.TEXTJOIN(", ", TRUE, IF(Y281:CG281="X", $Y$3:$CG$3, ""))</f>
        <v/>
      </c>
      <c r="V281" s="18" t="str" cm="1">
        <f t="array" ref="V281">_xlfn.TEXTJOIN(", ", TRUE, IF(Y281:CG281="X", $Y$2:$CG$2, ""))</f>
        <v/>
      </c>
      <c r="W281" s="2" t="str" cm="1">
        <f t="array" ref="W281">_xlfn.TEXTJOIN(", ", TRUE, IF(CH281:CS281="X", $CH$3:$CS$3, ""))</f>
        <v/>
      </c>
      <c r="X281" s="2" t="str" cm="1">
        <f t="array" ref="X281">_xlfn.TEXTJOIN(", ", TRUE, IF(CT281:CX281="X", $CT$3:$CX$3, ""))</f>
        <v/>
      </c>
    </row>
    <row r="282" spans="1:102" ht="18.75" customHeight="1" x14ac:dyDescent="0.25">
      <c r="A282" s="8">
        <v>222</v>
      </c>
      <c r="B282" s="2" t="s">
        <v>1991</v>
      </c>
      <c r="C282" s="2" t="s">
        <v>1992</v>
      </c>
      <c r="D282" s="29" t="s">
        <v>1993</v>
      </c>
      <c r="E282" s="29" t="s">
        <v>1994</v>
      </c>
      <c r="F282" s="18">
        <v>7832</v>
      </c>
      <c r="G282" s="8">
        <f ca="1">DATEDIF(F282, TODAY(), "Y")</f>
        <v>105</v>
      </c>
      <c r="H282" s="2" t="s">
        <v>1920</v>
      </c>
      <c r="I282" s="2" t="s">
        <v>1995</v>
      </c>
      <c r="J282" s="29"/>
      <c r="L282" s="1"/>
      <c r="M282" s="30"/>
      <c r="N282" s="31"/>
      <c r="O282" s="35"/>
      <c r="P282" s="82"/>
      <c r="Q282" s="82"/>
      <c r="R282" s="18"/>
      <c r="S282" s="18"/>
      <c r="T282" s="18"/>
      <c r="U282" s="2" t="str" cm="1">
        <f t="array" ref="U282">_xlfn.TEXTJOIN(", ", TRUE, IF(Y282:CG282="X", $Y$3:$CG$3, ""))</f>
        <v/>
      </c>
      <c r="V282" s="18" t="str" cm="1">
        <f t="array" ref="V282">_xlfn.TEXTJOIN(", ", TRUE, IF(Y282:CG282="X", $Y$2:$CG$2, ""))</f>
        <v/>
      </c>
      <c r="W282" s="2" t="str" cm="1">
        <f t="array" ref="W282">_xlfn.TEXTJOIN(", ", TRUE, IF(CH282:CS282="X", $CH$3:$CS$3, ""))</f>
        <v/>
      </c>
      <c r="X282" s="2" t="str" cm="1">
        <f t="array" ref="X282">_xlfn.TEXTJOIN(", ", TRUE, IF(CT282:CX282="X", $CT$3:$CX$3, ""))</f>
        <v/>
      </c>
    </row>
    <row r="283" spans="1:102" ht="18.75" customHeight="1" x14ac:dyDescent="0.25">
      <c r="A283" s="8">
        <v>223</v>
      </c>
      <c r="B283" s="2" t="s">
        <v>1996</v>
      </c>
      <c r="C283" s="2" t="s">
        <v>1997</v>
      </c>
      <c r="D283" s="29" t="s">
        <v>1998</v>
      </c>
      <c r="E283" s="29" t="s">
        <v>1999</v>
      </c>
      <c r="F283" s="18">
        <v>23593</v>
      </c>
      <c r="G283" s="8">
        <f ca="1">DATEDIF(F283, TODAY(), "Y")</f>
        <v>61</v>
      </c>
      <c r="H283" s="2" t="s">
        <v>1920</v>
      </c>
      <c r="I283" s="2" t="s">
        <v>2000</v>
      </c>
      <c r="J283" s="29"/>
      <c r="L283" s="1">
        <v>639638606</v>
      </c>
      <c r="M283" s="30"/>
      <c r="N283" s="31"/>
      <c r="O283" s="31"/>
      <c r="P283" s="2" t="s">
        <v>2001</v>
      </c>
      <c r="Q283" s="2"/>
      <c r="R283" s="18"/>
      <c r="S283" s="18"/>
      <c r="T283" s="18"/>
      <c r="U283" s="2" t="str" cm="1">
        <f t="array" ref="U283">_xlfn.TEXTJOIN(", ", TRUE, IF(Y283:CG283="X", $Y$3:$CG$3, ""))</f>
        <v/>
      </c>
      <c r="V283" s="18" t="str" cm="1">
        <f t="array" ref="V283">_xlfn.TEXTJOIN(", ", TRUE, IF(Y283:CG283="X", $Y$2:$CG$2, ""))</f>
        <v/>
      </c>
      <c r="W283" s="2" t="str" cm="1">
        <f t="array" ref="W283">_xlfn.TEXTJOIN(", ", TRUE, IF(CH283:CS283="X", $CH$3:$CS$3, ""))</f>
        <v/>
      </c>
      <c r="X283" s="2" t="str" cm="1">
        <f t="array" ref="X283">_xlfn.TEXTJOIN(", ", TRUE, IF(CT283:CX283="X", $CT$3:$CX$3, ""))</f>
        <v/>
      </c>
    </row>
    <row r="284" spans="1:102" ht="18.75" customHeight="1" x14ac:dyDescent="0.25">
      <c r="A284" s="8">
        <v>224</v>
      </c>
      <c r="B284" s="2" t="s">
        <v>2002</v>
      </c>
      <c r="C284" s="2" t="s">
        <v>2003</v>
      </c>
      <c r="D284" s="29" t="s">
        <v>2004</v>
      </c>
      <c r="E284" s="29" t="s">
        <v>2005</v>
      </c>
      <c r="F284" s="18">
        <v>17855</v>
      </c>
      <c r="G284" s="8">
        <f ca="1">DATEDIF(F284, TODAY(), "Y")</f>
        <v>77</v>
      </c>
      <c r="H284" s="2" t="s">
        <v>1920</v>
      </c>
      <c r="I284" s="2" t="s">
        <v>2006</v>
      </c>
      <c r="J284" s="29"/>
      <c r="L284" s="1">
        <v>690908644</v>
      </c>
      <c r="M284" s="30"/>
      <c r="N284" s="31"/>
      <c r="O284" s="31"/>
      <c r="P284" s="2" t="s">
        <v>2007</v>
      </c>
      <c r="Q284" s="29"/>
      <c r="R284" s="67"/>
      <c r="S284" s="67"/>
      <c r="T284" s="67"/>
      <c r="U284" s="2" t="str" cm="1">
        <f t="array" ref="U284">_xlfn.TEXTJOIN(", ", TRUE, IF(Y284:CG284="X", $Y$3:$CG$3, ""))</f>
        <v>Ardi haragia</v>
      </c>
      <c r="V284" s="18" t="str" cm="1">
        <f t="array" ref="V284">_xlfn.TEXTJOIN(", ", TRUE, IF(Y284:CG284="X", $Y$2:$CG$2, ""))</f>
        <v>HARAGIA</v>
      </c>
      <c r="W284" s="2" t="str" cm="1">
        <f t="array" ref="W284">_xlfn.TEXTJOIN(", ", TRUE, IF(CH284:CS284="X", $CH$3:$CS$3, ""))</f>
        <v/>
      </c>
      <c r="X284" s="2" t="str" cm="1">
        <f t="array" ref="X284">_xlfn.TEXTJOIN(", ", TRUE, IF(CT284:CX284="X", $CT$3:$CX$3, ""))</f>
        <v/>
      </c>
      <c r="AK284" s="3" t="s">
        <v>764</v>
      </c>
    </row>
    <row r="285" spans="1:102" ht="18.75" customHeight="1" x14ac:dyDescent="0.25">
      <c r="A285" s="8">
        <v>225</v>
      </c>
      <c r="B285" s="2" t="s">
        <v>2008</v>
      </c>
      <c r="C285" s="2" t="s">
        <v>2009</v>
      </c>
      <c r="D285" s="29" t="s">
        <v>2010</v>
      </c>
      <c r="E285" s="29" t="s">
        <v>2011</v>
      </c>
      <c r="F285" s="18">
        <v>27031</v>
      </c>
      <c r="G285" s="8">
        <f ca="1">DATEDIF(F285, TODAY(), "Y")</f>
        <v>52</v>
      </c>
      <c r="H285" s="2" t="s">
        <v>1920</v>
      </c>
      <c r="I285" s="2" t="s">
        <v>2012</v>
      </c>
      <c r="J285" s="29"/>
      <c r="L285" s="1">
        <v>676815116</v>
      </c>
      <c r="M285" s="30"/>
      <c r="N285" s="31"/>
      <c r="O285" s="31"/>
      <c r="P285" s="2" t="s">
        <v>2013</v>
      </c>
      <c r="Q285" s="2"/>
      <c r="R285" s="18"/>
      <c r="S285" s="18"/>
      <c r="T285" s="18"/>
      <c r="U285" s="2" t="str" cm="1">
        <f t="array" ref="U285">_xlfn.TEXTJOIN(", ", TRUE, IF(Y285:CG285="X", $Y$3:$CG$3, ""))</f>
        <v/>
      </c>
      <c r="V285" s="18" t="str" cm="1">
        <f t="array" ref="V285">_xlfn.TEXTJOIN(", ", TRUE, IF(Y285:CG285="X", $Y$2:$CG$2, ""))</f>
        <v/>
      </c>
      <c r="W285" s="2" t="str" cm="1">
        <f t="array" ref="W285">_xlfn.TEXTJOIN(", ", TRUE, IF(CH285:CS285="X", $CH$3:$CS$3, ""))</f>
        <v/>
      </c>
      <c r="X285" s="2" t="str" cm="1">
        <f t="array" ref="X285">_xlfn.TEXTJOIN(", ", TRUE, IF(CT285:CX285="X", $CT$3:$CX$3, ""))</f>
        <v/>
      </c>
    </row>
    <row r="286" spans="1:102" ht="18.75" customHeight="1" x14ac:dyDescent="0.25">
      <c r="A286" s="8">
        <v>226</v>
      </c>
      <c r="B286" s="2" t="s">
        <v>2014</v>
      </c>
      <c r="C286" s="2" t="s">
        <v>2015</v>
      </c>
      <c r="D286" s="29" t="s">
        <v>2016</v>
      </c>
      <c r="E286" s="29" t="s">
        <v>2017</v>
      </c>
      <c r="F286" s="18">
        <v>12850</v>
      </c>
      <c r="G286" s="8">
        <f ca="1">DATEDIF(F286, TODAY(), "Y")</f>
        <v>91</v>
      </c>
      <c r="H286" s="2" t="s">
        <v>1920</v>
      </c>
      <c r="I286" s="2" t="s">
        <v>2018</v>
      </c>
      <c r="J286" s="29"/>
      <c r="L286" s="1"/>
      <c r="M286" s="30"/>
      <c r="N286" s="31"/>
      <c r="O286" s="31"/>
      <c r="P286" s="49"/>
      <c r="Q286" s="49"/>
      <c r="R286" s="18"/>
      <c r="S286" s="18"/>
      <c r="T286" s="18"/>
      <c r="U286" s="2" t="str" cm="1">
        <f t="array" ref="U286">_xlfn.TEXTJOIN(", ", TRUE, IF(Y286:CG286="X", $Y$3:$CG$3, ""))</f>
        <v/>
      </c>
      <c r="V286" s="18" t="str" cm="1">
        <f t="array" ref="V286">_xlfn.TEXTJOIN(", ", TRUE, IF(Y286:CG286="X", $Y$2:$CG$2, ""))</f>
        <v/>
      </c>
      <c r="W286" s="2" t="str" cm="1">
        <f t="array" ref="W286">_xlfn.TEXTJOIN(", ", TRUE, IF(CH286:CS286="X", $CH$3:$CS$3, ""))</f>
        <v/>
      </c>
      <c r="X286" s="2" t="str" cm="1">
        <f t="array" ref="X286">_xlfn.TEXTJOIN(", ", TRUE, IF(CT286:CX286="X", $CT$3:$CX$3, ""))</f>
        <v/>
      </c>
    </row>
    <row r="287" spans="1:102" ht="18.75" customHeight="1" x14ac:dyDescent="0.25">
      <c r="A287" s="8">
        <v>228</v>
      </c>
      <c r="B287" s="2" t="s">
        <v>2025</v>
      </c>
      <c r="C287" s="2" t="s">
        <v>2026</v>
      </c>
      <c r="D287" s="29" t="s">
        <v>2027</v>
      </c>
      <c r="E287" s="29" t="s">
        <v>2028</v>
      </c>
      <c r="F287" s="18">
        <v>15426</v>
      </c>
      <c r="G287" s="8">
        <f ca="1">DATEDIF(F287, TODAY(), "Y")</f>
        <v>84</v>
      </c>
      <c r="H287" s="2" t="s">
        <v>566</v>
      </c>
      <c r="I287" s="2" t="s">
        <v>2029</v>
      </c>
      <c r="J287" s="29"/>
      <c r="L287" s="74">
        <v>608340787</v>
      </c>
      <c r="M287" s="30"/>
      <c r="N287" s="31"/>
      <c r="O287" s="35"/>
      <c r="P287" s="65" t="s">
        <v>2030</v>
      </c>
      <c r="Q287" s="65"/>
      <c r="R287" s="18"/>
      <c r="S287" s="18"/>
      <c r="T287" s="18"/>
      <c r="U287" s="2" t="str" cm="1">
        <f t="array" ref="U287">_xlfn.TEXTJOIN(", ", TRUE, IF(Y287:CG287="X", $Y$3:$CG$3, ""))</f>
        <v>Barazkiak aire librean, Babarrunak</v>
      </c>
      <c r="V287" s="18" t="str" cm="1">
        <f t="array" ref="V287">_xlfn.TEXTJOIN(", ", TRUE, IF(Y287:CG287="X", $Y$2:$CG$2, ""))</f>
        <v>BARAZKIAK, LEKALEAK</v>
      </c>
      <c r="W287" s="2" t="str" cm="1">
        <f t="array" ref="W287">_xlfn.TEXTJOIN(", ", TRUE, IF(CH287:CS287="X", $CH$3:$CS$3, ""))</f>
        <v/>
      </c>
      <c r="X287" s="2" t="str" cm="1">
        <f t="array" ref="X287">_xlfn.TEXTJOIN(", ", TRUE, IF(CT287:CX287="X", $CT$3:$CX$3, ""))</f>
        <v/>
      </c>
      <c r="AS287" s="3" t="s">
        <v>764</v>
      </c>
      <c r="AZ287" s="3" t="s">
        <v>764</v>
      </c>
    </row>
    <row r="288" spans="1:102" ht="18.75" customHeight="1" x14ac:dyDescent="0.25">
      <c r="A288" s="8">
        <v>232</v>
      </c>
      <c r="B288" s="2" t="s">
        <v>2054</v>
      </c>
      <c r="C288" s="2" t="s">
        <v>2055</v>
      </c>
      <c r="D288" s="29" t="s">
        <v>2056</v>
      </c>
      <c r="E288" s="29" t="s">
        <v>2057</v>
      </c>
      <c r="F288" s="18">
        <v>18431</v>
      </c>
      <c r="G288" s="8">
        <f ca="1">DATEDIF(F288, TODAY(), "Y")</f>
        <v>76</v>
      </c>
      <c r="H288" s="2" t="s">
        <v>566</v>
      </c>
      <c r="I288" s="2" t="s">
        <v>2058</v>
      </c>
      <c r="J288" s="29"/>
      <c r="L288" s="1">
        <v>618009961</v>
      </c>
      <c r="M288" s="30"/>
      <c r="N288" s="31"/>
      <c r="O288" s="31"/>
      <c r="P288" s="2" t="s">
        <v>2059</v>
      </c>
      <c r="Q288" s="2"/>
      <c r="R288" s="18"/>
      <c r="S288" s="18"/>
      <c r="T288" s="18"/>
      <c r="U288" s="2" t="str" cm="1">
        <f t="array" ref="U288">_xlfn.TEXTJOIN(", ", TRUE, IF(Y288:CG288="X", $Y$3:$CG$3, ""))</f>
        <v/>
      </c>
      <c r="V288" s="18" t="str" cm="1">
        <f t="array" ref="V288">_xlfn.TEXTJOIN(", ", TRUE, IF(Y288:CG288="X", $Y$2:$CG$2, ""))</f>
        <v/>
      </c>
      <c r="W288" s="2" t="str" cm="1">
        <f t="array" ref="W288">_xlfn.TEXTJOIN(", ", TRUE, IF(CH288:CS288="X", $CH$3:$CS$3, ""))</f>
        <v/>
      </c>
      <c r="X288" s="2" t="str" cm="1">
        <f t="array" ref="X288">_xlfn.TEXTJOIN(", ", TRUE, IF(CT288:CX288="X", $CT$3:$CX$3, ""))</f>
        <v/>
      </c>
    </row>
    <row r="289" spans="1:98" ht="18.75" customHeight="1" x14ac:dyDescent="0.25">
      <c r="A289" s="8">
        <v>234</v>
      </c>
      <c r="B289" s="2" t="s">
        <v>2067</v>
      </c>
      <c r="C289" s="2" t="s">
        <v>2068</v>
      </c>
      <c r="D289" s="29" t="s">
        <v>2069</v>
      </c>
      <c r="E289" s="29" t="s">
        <v>2070</v>
      </c>
      <c r="F289" s="18">
        <v>24300</v>
      </c>
      <c r="G289" s="8">
        <f ca="1">DATEDIF(F289, TODAY(), "Y")</f>
        <v>60</v>
      </c>
      <c r="H289" s="2" t="s">
        <v>566</v>
      </c>
      <c r="I289" s="2" t="s">
        <v>2071</v>
      </c>
      <c r="J289" s="29"/>
      <c r="L289" s="1">
        <v>609851408</v>
      </c>
      <c r="M289" s="30"/>
      <c r="N289" s="31"/>
      <c r="O289" s="31"/>
      <c r="P289" s="2" t="s">
        <v>2072</v>
      </c>
      <c r="Q289" s="29"/>
      <c r="R289" s="67"/>
      <c r="S289" s="67"/>
      <c r="T289" s="67"/>
      <c r="U289" s="2" t="str" cm="1">
        <f t="array" ref="U289">_xlfn.TEXTJOIN(", ", TRUE, IF(Y289:CG289="X", $Y$3:$CG$3, ""))</f>
        <v/>
      </c>
      <c r="V289" s="18" t="str" cm="1">
        <f t="array" ref="V289">_xlfn.TEXTJOIN(", ", TRUE, IF(Y289:CG289="X", $Y$2:$CG$2, ""))</f>
        <v/>
      </c>
      <c r="W289" s="2" t="str" cm="1">
        <f t="array" ref="W289">_xlfn.TEXTJOIN(", ", TRUE, IF(CH289:CS289="X", $CH$3:$CS$3, ""))</f>
        <v/>
      </c>
      <c r="X289" s="2" t="str" cm="1">
        <f t="array" ref="X289">_xlfn.TEXTJOIN(", ", TRUE, IF(CT289:CX289="X", $CT$3:$CX$3, ""))</f>
        <v/>
      </c>
    </row>
    <row r="290" spans="1:98" ht="18.75" customHeight="1" x14ac:dyDescent="0.25">
      <c r="A290" s="8">
        <v>237</v>
      </c>
      <c r="B290" s="2" t="s">
        <v>2085</v>
      </c>
      <c r="C290" s="2" t="s">
        <v>2086</v>
      </c>
      <c r="D290" s="29" t="s">
        <v>2087</v>
      </c>
      <c r="E290" s="29" t="s">
        <v>2088</v>
      </c>
      <c r="F290" s="18">
        <v>23825</v>
      </c>
      <c r="G290" s="8">
        <f ca="1">DATEDIF(F290, TODAY(), "Y")</f>
        <v>61</v>
      </c>
      <c r="H290" s="2" t="s">
        <v>566</v>
      </c>
      <c r="I290" s="2" t="s">
        <v>2089</v>
      </c>
      <c r="J290" s="29"/>
      <c r="L290" s="1">
        <v>669827343</v>
      </c>
      <c r="M290" s="30"/>
      <c r="N290" s="31"/>
      <c r="O290" s="35"/>
      <c r="P290" s="65" t="s">
        <v>2090</v>
      </c>
      <c r="Q290" s="65"/>
      <c r="R290" s="18"/>
      <c r="S290" s="18"/>
      <c r="T290" s="18"/>
      <c r="U290" s="2" t="str" cm="1">
        <f t="array" ref="U290">_xlfn.TEXTJOIN(", ", TRUE, IF(Y290:CG290="X", $Y$3:$CG$3, ""))</f>
        <v/>
      </c>
      <c r="V290" s="18" t="str" cm="1">
        <f t="array" ref="V290">_xlfn.TEXTJOIN(", ", TRUE, IF(Y290:CG290="X", $Y$2:$CG$2, ""))</f>
        <v/>
      </c>
      <c r="W290" s="2" t="str" cm="1">
        <f t="array" ref="W290">_xlfn.TEXTJOIN(", ", TRUE, IF(CH290:CS290="X", $CH$3:$CS$3, ""))</f>
        <v/>
      </c>
      <c r="X290" s="2" t="str" cm="1">
        <f t="array" ref="X290">_xlfn.TEXTJOIN(", ", TRUE, IF(CT290:CX290="X", $CT$3:$CX$3, ""))</f>
        <v/>
      </c>
    </row>
    <row r="291" spans="1:98" ht="18.75" customHeight="1" x14ac:dyDescent="0.25">
      <c r="A291" s="8">
        <v>239</v>
      </c>
      <c r="B291" s="2" t="s">
        <v>2096</v>
      </c>
      <c r="C291" s="2" t="s">
        <v>2097</v>
      </c>
      <c r="D291" s="29" t="s">
        <v>2098</v>
      </c>
      <c r="E291" s="29" t="s">
        <v>2099</v>
      </c>
      <c r="F291" s="18">
        <v>29011</v>
      </c>
      <c r="G291" s="8">
        <f ca="1">DATEDIF(F291, TODAY(), "Y")</f>
        <v>47</v>
      </c>
      <c r="H291" s="2" t="s">
        <v>472</v>
      </c>
      <c r="I291" s="2" t="s">
        <v>2100</v>
      </c>
      <c r="J291" s="29"/>
      <c r="L291" s="1">
        <v>616300176</v>
      </c>
      <c r="M291" s="30"/>
      <c r="N291" s="31"/>
      <c r="O291" s="31"/>
      <c r="P291" s="2" t="s">
        <v>2101</v>
      </c>
      <c r="Q291" s="2"/>
      <c r="R291" s="18"/>
      <c r="S291" s="18"/>
      <c r="T291" s="18"/>
      <c r="U291" s="2" t="str" cm="1">
        <f t="array" ref="U291">_xlfn.TEXTJOIN(", ", TRUE, IF(Y291:CG291="X", $Y$3:$CG$3, ""))</f>
        <v/>
      </c>
      <c r="V291" s="18" t="str" cm="1">
        <f t="array" ref="V291">_xlfn.TEXTJOIN(", ", TRUE, IF(Y291:CG291="X", $Y$2:$CG$2, ""))</f>
        <v/>
      </c>
      <c r="W291" s="2" t="str" cm="1">
        <f t="array" ref="W291">_xlfn.TEXTJOIN(", ", TRUE, IF(CH291:CS291="X", $CH$3:$CS$3, ""))</f>
        <v/>
      </c>
      <c r="X291" s="2" t="str" cm="1">
        <f t="array" ref="X291">_xlfn.TEXTJOIN(", ", TRUE, IF(CT291:CX291="X", $CT$3:$CX$3, ""))</f>
        <v/>
      </c>
    </row>
    <row r="292" spans="1:98" ht="18.75" customHeight="1" x14ac:dyDescent="0.25">
      <c r="A292" s="8">
        <v>240</v>
      </c>
      <c r="B292" s="2" t="s">
        <v>2102</v>
      </c>
      <c r="C292" s="2" t="s">
        <v>2103</v>
      </c>
      <c r="D292" s="29" t="s">
        <v>2104</v>
      </c>
      <c r="E292" s="29" t="s">
        <v>2105</v>
      </c>
      <c r="F292" s="18"/>
      <c r="G292" s="8">
        <f ca="1">DATEDIF(F292, TODAY(), "Y")</f>
        <v>126</v>
      </c>
      <c r="H292" s="2" t="s">
        <v>472</v>
      </c>
      <c r="I292" s="2" t="s">
        <v>2106</v>
      </c>
      <c r="J292" s="29"/>
      <c r="L292" s="1"/>
      <c r="M292" s="30"/>
      <c r="N292" s="31"/>
      <c r="O292" s="31"/>
      <c r="P292" s="49"/>
      <c r="Q292" s="49"/>
      <c r="R292" s="49"/>
      <c r="S292" s="49"/>
      <c r="T292" s="49"/>
      <c r="U292" s="2" t="str" cm="1">
        <f t="array" ref="U292">_xlfn.TEXTJOIN(", ", TRUE, IF(Y292:CG292="X", $Y$3:$CG$3, ""))</f>
        <v/>
      </c>
      <c r="V292" s="18" t="str" cm="1">
        <f t="array" ref="V292">_xlfn.TEXTJOIN(", ", TRUE, IF(Y292:CG292="X", $Y$2:$CG$2, ""))</f>
        <v/>
      </c>
      <c r="W292" s="2" t="str" cm="1">
        <f t="array" ref="W292">_xlfn.TEXTJOIN(", ", TRUE, IF(CH292:CS292="X", $CH$3:$CS$3, ""))</f>
        <v/>
      </c>
      <c r="X292" s="2" t="str" cm="1">
        <f t="array" ref="X292">_xlfn.TEXTJOIN(", ", TRUE, IF(CT292:CX292="X", $CT$3:$CX$3, ""))</f>
        <v/>
      </c>
    </row>
    <row r="293" spans="1:98" ht="18.75" customHeight="1" x14ac:dyDescent="0.25">
      <c r="A293" s="8">
        <v>241</v>
      </c>
      <c r="B293" s="2" t="s">
        <v>2107</v>
      </c>
      <c r="C293" s="2" t="s">
        <v>2108</v>
      </c>
      <c r="D293" s="29" t="s">
        <v>2109</v>
      </c>
      <c r="E293" s="29" t="s">
        <v>2110</v>
      </c>
      <c r="F293" s="18">
        <v>7613</v>
      </c>
      <c r="G293" s="8">
        <f ca="1">DATEDIF(F293, TODAY(), "Y")</f>
        <v>105</v>
      </c>
      <c r="H293" s="2" t="s">
        <v>576</v>
      </c>
      <c r="I293" s="2" t="s">
        <v>2111</v>
      </c>
      <c r="J293" s="29"/>
      <c r="L293" s="1"/>
      <c r="M293" s="30"/>
      <c r="N293" s="31"/>
      <c r="O293" s="31"/>
      <c r="P293" s="49"/>
      <c r="Q293" s="49"/>
      <c r="R293" s="18"/>
      <c r="S293" s="18"/>
      <c r="T293" s="18"/>
      <c r="U293" s="2" t="str" cm="1">
        <f t="array" ref="U293">_xlfn.TEXTJOIN(", ", TRUE, IF(Y293:CG293="X", $Y$3:$CG$3, ""))</f>
        <v/>
      </c>
      <c r="V293" s="18" t="str" cm="1">
        <f t="array" ref="V293">_xlfn.TEXTJOIN(", ", TRUE, IF(Y293:CG293="X", $Y$2:$CG$2, ""))</f>
        <v/>
      </c>
      <c r="W293" s="2" t="str" cm="1">
        <f t="array" ref="W293">_xlfn.TEXTJOIN(", ", TRUE, IF(CH293:CS293="X", $CH$3:$CS$3, ""))</f>
        <v/>
      </c>
      <c r="X293" s="2" t="str" cm="1">
        <f t="array" ref="X293">_xlfn.TEXTJOIN(", ", TRUE, IF(CT293:CX293="X", $CT$3:$CX$3, ""))</f>
        <v/>
      </c>
    </row>
    <row r="294" spans="1:98" ht="18.75" customHeight="1" x14ac:dyDescent="0.25">
      <c r="A294" s="8">
        <v>242</v>
      </c>
      <c r="B294" s="2" t="s">
        <v>2112</v>
      </c>
      <c r="C294" s="2" t="s">
        <v>2113</v>
      </c>
      <c r="D294" s="29" t="s">
        <v>2114</v>
      </c>
      <c r="E294" s="29" t="s">
        <v>2115</v>
      </c>
      <c r="F294" s="18">
        <v>8764</v>
      </c>
      <c r="G294" s="8">
        <f ca="1">DATEDIF(F294, TODAY(), "Y")</f>
        <v>102</v>
      </c>
      <c r="H294" s="2" t="s">
        <v>576</v>
      </c>
      <c r="I294" s="2" t="s">
        <v>2116</v>
      </c>
      <c r="J294" s="29"/>
      <c r="L294" s="1"/>
      <c r="M294" s="30"/>
      <c r="N294" s="31"/>
      <c r="O294" s="31"/>
      <c r="P294" s="49"/>
      <c r="Q294" s="49"/>
      <c r="R294" s="18"/>
      <c r="S294" s="18"/>
      <c r="T294" s="18"/>
      <c r="U294" s="2" t="str" cm="1">
        <f t="array" ref="U294">_xlfn.TEXTJOIN(", ", TRUE, IF(Y294:CG294="X", $Y$3:$CG$3, ""))</f>
        <v/>
      </c>
      <c r="V294" s="18" t="str" cm="1">
        <f t="array" ref="V294">_xlfn.TEXTJOIN(", ", TRUE, IF(Y294:CG294="X", $Y$2:$CG$2, ""))</f>
        <v/>
      </c>
      <c r="W294" s="2" t="str" cm="1">
        <f t="array" ref="W294">_xlfn.TEXTJOIN(", ", TRUE, IF(CH294:CS294="X", $CH$3:$CS$3, ""))</f>
        <v/>
      </c>
      <c r="X294" s="2" t="str" cm="1">
        <f t="array" ref="X294">_xlfn.TEXTJOIN(", ", TRUE, IF(CT294:CX294="X", $CT$3:$CX$3, ""))</f>
        <v/>
      </c>
    </row>
    <row r="295" spans="1:98" ht="18.75" customHeight="1" x14ac:dyDescent="0.25">
      <c r="A295" s="8">
        <v>243</v>
      </c>
      <c r="B295" s="2" t="s">
        <v>2117</v>
      </c>
      <c r="C295" s="2" t="s">
        <v>2118</v>
      </c>
      <c r="D295" s="29" t="s">
        <v>2119</v>
      </c>
      <c r="E295" s="29" t="s">
        <v>2120</v>
      </c>
      <c r="F295" s="18">
        <v>13922</v>
      </c>
      <c r="G295" s="8">
        <f ca="1">DATEDIF(F295, TODAY(), "Y")</f>
        <v>88</v>
      </c>
      <c r="H295" s="2" t="s">
        <v>576</v>
      </c>
      <c r="I295" s="2" t="s">
        <v>796</v>
      </c>
      <c r="J295" s="29"/>
      <c r="L295" s="1"/>
      <c r="M295" s="30"/>
      <c r="N295" s="31"/>
      <c r="O295" s="31"/>
      <c r="P295" s="49"/>
      <c r="Q295" s="49"/>
      <c r="R295" s="18"/>
      <c r="S295" s="18"/>
      <c r="T295" s="18"/>
      <c r="U295" s="2" t="str" cm="1">
        <f t="array" ref="U295">_xlfn.TEXTJOIN(", ", TRUE, IF(Y295:CG295="X", $Y$3:$CG$3, ""))</f>
        <v/>
      </c>
      <c r="V295" s="18" t="str" cm="1">
        <f t="array" ref="V295">_xlfn.TEXTJOIN(", ", TRUE, IF(Y295:CG295="X", $Y$2:$CG$2, ""))</f>
        <v/>
      </c>
      <c r="W295" s="2" t="str" cm="1">
        <f t="array" ref="W295">_xlfn.TEXTJOIN(", ", TRUE, IF(CH295:CS295="X", $CH$3:$CS$3, ""))</f>
        <v/>
      </c>
      <c r="X295" s="2" t="str" cm="1">
        <f t="array" ref="X295">_xlfn.TEXTJOIN(", ", TRUE, IF(CT295:CX295="X", $CT$3:$CX$3, ""))</f>
        <v/>
      </c>
    </row>
    <row r="296" spans="1:98" ht="18.75" customHeight="1" x14ac:dyDescent="0.25">
      <c r="A296" s="8">
        <v>244</v>
      </c>
      <c r="B296" s="2" t="s">
        <v>2121</v>
      </c>
      <c r="C296" s="2" t="s">
        <v>2122</v>
      </c>
      <c r="D296" s="29" t="s">
        <v>2123</v>
      </c>
      <c r="E296" s="29" t="s">
        <v>2124</v>
      </c>
      <c r="F296" s="18">
        <v>18763</v>
      </c>
      <c r="G296" s="8">
        <f ca="1">DATEDIF(F296, TODAY(), "Y")</f>
        <v>75</v>
      </c>
      <c r="H296" s="2" t="s">
        <v>576</v>
      </c>
      <c r="I296" s="2" t="s">
        <v>2125</v>
      </c>
      <c r="J296" s="29"/>
      <c r="L296" s="1">
        <v>660815079</v>
      </c>
      <c r="M296" s="30"/>
      <c r="N296" s="31"/>
      <c r="O296" s="31"/>
      <c r="P296" s="2" t="s">
        <v>2126</v>
      </c>
      <c r="Q296" s="2"/>
      <c r="R296" s="18"/>
      <c r="S296" s="18"/>
      <c r="T296" s="18"/>
      <c r="U296" s="2" t="str" cm="1">
        <f t="array" ref="U296">_xlfn.TEXTJOIN(", ", TRUE, IF(Y296:CG296="X", $Y$3:$CG$3, ""))</f>
        <v/>
      </c>
      <c r="V296" s="18" t="str" cm="1">
        <f t="array" ref="V296">_xlfn.TEXTJOIN(", ", TRUE, IF(Y296:CG296="X", $Y$2:$CG$2, ""))</f>
        <v/>
      </c>
      <c r="W296" s="2" t="str" cm="1">
        <f t="array" ref="W296">_xlfn.TEXTJOIN(", ", TRUE, IF(CH296:CS296="X", $CH$3:$CS$3, ""))</f>
        <v/>
      </c>
      <c r="X296" s="2" t="str" cm="1">
        <f t="array" ref="X296">_xlfn.TEXTJOIN(", ", TRUE, IF(CT296:CX296="X", $CT$3:$CX$3, ""))</f>
        <v/>
      </c>
    </row>
    <row r="297" spans="1:98" ht="18.75" customHeight="1" x14ac:dyDescent="0.25">
      <c r="A297" s="8">
        <v>245</v>
      </c>
      <c r="B297" s="2" t="s">
        <v>2127</v>
      </c>
      <c r="C297" s="2" t="s">
        <v>2128</v>
      </c>
      <c r="D297" s="29" t="s">
        <v>2129</v>
      </c>
      <c r="E297" s="29" t="s">
        <v>2130</v>
      </c>
      <c r="F297" s="18">
        <v>13229</v>
      </c>
      <c r="G297" s="8">
        <f ca="1">DATEDIF(F297, TODAY(), "Y")</f>
        <v>90</v>
      </c>
      <c r="H297" s="2" t="s">
        <v>576</v>
      </c>
      <c r="I297" s="2" t="s">
        <v>2131</v>
      </c>
      <c r="J297" s="29"/>
      <c r="L297" s="1"/>
      <c r="M297" s="30"/>
      <c r="N297" s="31"/>
      <c r="O297" s="31"/>
      <c r="P297" s="49"/>
      <c r="Q297" s="38"/>
      <c r="R297" s="67"/>
      <c r="S297" s="67"/>
      <c r="T297" s="67"/>
      <c r="U297" s="2" t="str" cm="1">
        <f t="array" ref="U297">_xlfn.TEXTJOIN(", ", TRUE, IF(Y297:CG297="X", $Y$3:$CG$3, ""))</f>
        <v/>
      </c>
      <c r="V297" s="18" t="str" cm="1">
        <f t="array" ref="V297">_xlfn.TEXTJOIN(", ", TRUE, IF(Y297:CG297="X", $Y$2:$CG$2, ""))</f>
        <v/>
      </c>
      <c r="W297" s="2" t="str" cm="1">
        <f t="array" ref="W297">_xlfn.TEXTJOIN(", ", TRUE, IF(CH297:CS297="X", $CH$3:$CS$3, ""))</f>
        <v/>
      </c>
      <c r="X297" s="2" t="str" cm="1">
        <f t="array" ref="X297">_xlfn.TEXTJOIN(", ", TRUE, IF(CT297:CX297="X", $CT$3:$CX$3, ""))</f>
        <v/>
      </c>
    </row>
    <row r="298" spans="1:98" ht="18.75" customHeight="1" x14ac:dyDescent="0.25">
      <c r="A298" s="8">
        <v>246</v>
      </c>
      <c r="B298" s="2" t="s">
        <v>2132</v>
      </c>
      <c r="C298" s="2" t="s">
        <v>2133</v>
      </c>
      <c r="D298" s="29" t="s">
        <v>2134</v>
      </c>
      <c r="E298" s="29" t="s">
        <v>2135</v>
      </c>
      <c r="F298" s="18">
        <v>23008</v>
      </c>
      <c r="G298" s="8">
        <f ca="1">DATEDIF(F298, TODAY(), "Y")</f>
        <v>63</v>
      </c>
      <c r="H298" s="2" t="s">
        <v>576</v>
      </c>
      <c r="I298" s="2" t="s">
        <v>2136</v>
      </c>
      <c r="J298" s="29"/>
      <c r="L298" s="1">
        <v>636008989</v>
      </c>
      <c r="M298" s="30"/>
      <c r="N298" s="31"/>
      <c r="O298" s="31"/>
      <c r="P298" s="2" t="s">
        <v>2137</v>
      </c>
      <c r="Q298" s="2"/>
      <c r="R298" s="18"/>
      <c r="S298" s="18"/>
      <c r="T298" s="18"/>
      <c r="U298" s="2" t="str" cm="1">
        <f t="array" ref="U298">_xlfn.TEXTJOIN(", ", TRUE, IF(Y298:CG298="X", $Y$3:$CG$3, ""))</f>
        <v/>
      </c>
      <c r="V298" s="18" t="str" cm="1">
        <f t="array" ref="V298">_xlfn.TEXTJOIN(", ", TRUE, IF(Y298:CG298="X", $Y$2:$CG$2, ""))</f>
        <v/>
      </c>
      <c r="W298" s="2" t="str" cm="1">
        <f t="array" ref="W298">_xlfn.TEXTJOIN(", ", TRUE, IF(CH298:CS298="X", $CH$3:$CS$3, ""))</f>
        <v/>
      </c>
      <c r="X298" s="2" t="str" cm="1">
        <f t="array" ref="X298">_xlfn.TEXTJOIN(", ", TRUE, IF(CT298:CX298="X", $CT$3:$CX$3, ""))</f>
        <v/>
      </c>
    </row>
    <row r="299" spans="1:98" ht="18.75" customHeight="1" x14ac:dyDescent="0.25">
      <c r="A299" s="8">
        <v>247</v>
      </c>
      <c r="B299" s="2" t="s">
        <v>2138</v>
      </c>
      <c r="C299" s="2" t="s">
        <v>2139</v>
      </c>
      <c r="D299" s="29" t="s">
        <v>2140</v>
      </c>
      <c r="E299" s="29" t="s">
        <v>2141</v>
      </c>
      <c r="F299" s="18">
        <v>22536</v>
      </c>
      <c r="G299" s="8">
        <f ca="1">DATEDIF(F299, TODAY(), "Y")</f>
        <v>64</v>
      </c>
      <c r="H299" s="2" t="s">
        <v>581</v>
      </c>
      <c r="I299" s="2" t="s">
        <v>2142</v>
      </c>
      <c r="J299" s="29"/>
      <c r="L299" s="1">
        <v>699043338</v>
      </c>
      <c r="M299" s="76"/>
      <c r="N299" s="31"/>
      <c r="O299" s="31"/>
      <c r="P299" s="2" t="s">
        <v>2143</v>
      </c>
      <c r="Q299" s="2"/>
      <c r="R299" s="18"/>
      <c r="S299" s="18"/>
      <c r="T299" s="18"/>
      <c r="U299" s="2" t="str" cm="1">
        <f t="array" ref="U299">_xlfn.TEXTJOIN(", ", TRUE, IF(Y299:CG299="X", $Y$3:$CG$3, ""))</f>
        <v/>
      </c>
      <c r="V299" s="18" t="str" cm="1">
        <f t="array" ref="V299">_xlfn.TEXTJOIN(", ", TRUE, IF(Y299:CG299="X", $Y$2:$CG$2, ""))</f>
        <v/>
      </c>
      <c r="W299" s="2" t="str" cm="1">
        <f t="array" ref="W299">_xlfn.TEXTJOIN(", ", TRUE, IF(CH299:CS299="X", $CH$3:$CS$3, ""))</f>
        <v/>
      </c>
      <c r="X299" s="2" t="str" cm="1">
        <f t="array" ref="X299">_xlfn.TEXTJOIN(", ", TRUE, IF(CT299:CX299="X", $CT$3:$CX$3, ""))</f>
        <v/>
      </c>
    </row>
    <row r="300" spans="1:98" ht="18.75" customHeight="1" x14ac:dyDescent="0.25">
      <c r="A300" s="8">
        <v>248</v>
      </c>
      <c r="B300" s="2" t="s">
        <v>2144</v>
      </c>
      <c r="C300" s="2" t="s">
        <v>2145</v>
      </c>
      <c r="D300" s="29" t="s">
        <v>2146</v>
      </c>
      <c r="E300" s="29" t="s">
        <v>2147</v>
      </c>
      <c r="F300" s="18">
        <v>23767</v>
      </c>
      <c r="G300" s="8">
        <f ca="1">DATEDIF(F300, TODAY(), "Y")</f>
        <v>61</v>
      </c>
      <c r="H300" s="2" t="s">
        <v>581</v>
      </c>
      <c r="I300" s="2" t="s">
        <v>2148</v>
      </c>
      <c r="J300" s="29"/>
      <c r="L300" s="1">
        <v>666384276</v>
      </c>
      <c r="M300" s="30"/>
      <c r="N300" s="31"/>
      <c r="O300" s="31"/>
      <c r="P300" s="2" t="s">
        <v>2149</v>
      </c>
      <c r="Q300" s="2"/>
      <c r="R300" s="18"/>
      <c r="S300" s="18"/>
      <c r="T300" s="18"/>
      <c r="U300" s="2" t="str" cm="1">
        <f t="array" ref="U300">_xlfn.TEXTJOIN(", ", TRUE, IF(Y300:CG300="X", $Y$3:$CG$3, ""))</f>
        <v/>
      </c>
      <c r="V300" s="18" t="str" cm="1">
        <f t="array" ref="V300">_xlfn.TEXTJOIN(", ", TRUE, IF(Y300:CG300="X", $Y$2:$CG$2, ""))</f>
        <v/>
      </c>
      <c r="W300" s="2" t="str" cm="1">
        <f t="array" ref="W300">_xlfn.TEXTJOIN(", ", TRUE, IF(CH300:CS300="X", $CH$3:$CS$3, ""))</f>
        <v/>
      </c>
      <c r="X300" s="2" t="str" cm="1">
        <f t="array" ref="X300">_xlfn.TEXTJOIN(", ", TRUE, IF(CT300:CX300="X", $CT$3:$CX$3, ""))</f>
        <v/>
      </c>
      <c r="AS300" s="49"/>
      <c r="BD300" s="49"/>
      <c r="BF300" s="49"/>
      <c r="BO300" s="49"/>
      <c r="CT300" s="49"/>
    </row>
    <row r="301" spans="1:98" ht="18.75" customHeight="1" x14ac:dyDescent="0.25">
      <c r="A301" s="8">
        <v>249</v>
      </c>
      <c r="B301" s="2" t="s">
        <v>2150</v>
      </c>
      <c r="C301" s="2" t="s">
        <v>2151</v>
      </c>
      <c r="D301" s="29" t="s">
        <v>2152</v>
      </c>
      <c r="E301" s="29" t="s">
        <v>2153</v>
      </c>
      <c r="F301" s="18">
        <v>23061</v>
      </c>
      <c r="G301" s="8">
        <f ca="1">DATEDIF(F301, TODAY(), "Y")</f>
        <v>63</v>
      </c>
      <c r="H301" s="2" t="s">
        <v>581</v>
      </c>
      <c r="I301" s="2" t="s">
        <v>2154</v>
      </c>
      <c r="J301" s="29"/>
      <c r="L301" s="1">
        <v>619102706</v>
      </c>
      <c r="M301" s="30"/>
      <c r="N301" s="31"/>
      <c r="O301" s="31"/>
      <c r="P301" s="2" t="s">
        <v>2155</v>
      </c>
      <c r="Q301" s="2" t="s">
        <v>3020</v>
      </c>
      <c r="R301" s="18"/>
      <c r="S301" s="18"/>
      <c r="T301" s="18"/>
      <c r="U301" s="2" t="str" cm="1">
        <f t="array" ref="U301">_xlfn.TEXTJOIN(", ", TRUE, IF(Y301:CG301="X", $Y$3:$CG$3, ""))</f>
        <v>Fruta, Intxaurrak</v>
      </c>
      <c r="V301" s="18" t="str" cm="1">
        <f t="array" ref="V301">_xlfn.TEXTJOIN(", ", TRUE, IF(Y301:CG301="X", $Y$2:$CG$2, ""))</f>
        <v>FRUTA, FRUITU LEHORRAK</v>
      </c>
      <c r="W301" s="2" t="str" cm="1">
        <f t="array" ref="W301">_xlfn.TEXTJOIN(", ", TRUE, IF(CH301:CS301="X", $CH$3:$CS$3, ""))</f>
        <v/>
      </c>
      <c r="X301" s="2" t="str" cm="1">
        <f t="array" ref="X301">_xlfn.TEXTJOIN(", ", TRUE, IF(CT301:CX301="X", $CT$3:$CX$3, ""))</f>
        <v>Ekologikoa</v>
      </c>
      <c r="AS301" s="82"/>
      <c r="BD301" s="65" t="s">
        <v>764</v>
      </c>
      <c r="BF301" s="82"/>
      <c r="BO301" s="65" t="s">
        <v>764</v>
      </c>
      <c r="CT301" s="65" t="s">
        <v>764</v>
      </c>
    </row>
    <row r="302" spans="1:98" ht="18.75" customHeight="1" x14ac:dyDescent="0.25">
      <c r="A302" s="8">
        <v>250</v>
      </c>
      <c r="B302" s="2" t="s">
        <v>2156</v>
      </c>
      <c r="C302" s="2" t="s">
        <v>2157</v>
      </c>
      <c r="D302" s="29" t="s">
        <v>2158</v>
      </c>
      <c r="E302" s="29" t="s">
        <v>2159</v>
      </c>
      <c r="F302" s="18">
        <v>28754</v>
      </c>
      <c r="G302" s="8">
        <f ca="1">DATEDIF(F302, TODAY(), "Y")</f>
        <v>47</v>
      </c>
      <c r="H302" s="2" t="s">
        <v>581</v>
      </c>
      <c r="I302" s="2" t="s">
        <v>2160</v>
      </c>
      <c r="J302" s="29"/>
      <c r="L302" s="1">
        <v>677884289</v>
      </c>
      <c r="M302" s="30"/>
      <c r="N302" s="31"/>
      <c r="O302" s="31"/>
      <c r="P302" s="2" t="s">
        <v>2161</v>
      </c>
      <c r="Q302" s="2"/>
      <c r="R302" s="18"/>
      <c r="S302" s="18"/>
      <c r="T302" s="18"/>
      <c r="U302" s="2" t="str" cm="1">
        <f t="array" ref="U302">_xlfn.TEXTJOIN(", ", TRUE, IF(Y302:CG302="X", $Y$3:$CG$3, ""))</f>
        <v/>
      </c>
      <c r="V302" s="18" t="str" cm="1">
        <f t="array" ref="V302">_xlfn.TEXTJOIN(", ", TRUE, IF(Y302:CG302="X", $Y$2:$CG$2, ""))</f>
        <v/>
      </c>
      <c r="W302" s="2" t="str" cm="1">
        <f t="array" ref="W302">_xlfn.TEXTJOIN(", ", TRUE, IF(CH302:CS302="X", $CH$3:$CS$3, ""))</f>
        <v/>
      </c>
      <c r="X302" s="2" t="str" cm="1">
        <f t="array" ref="X302">_xlfn.TEXTJOIN(", ", TRUE, IF(CT302:CX302="X", $CT$3:$CX$3, ""))</f>
        <v/>
      </c>
    </row>
    <row r="303" spans="1:98" ht="18.75" customHeight="1" x14ac:dyDescent="0.25">
      <c r="A303" s="8">
        <v>251</v>
      </c>
      <c r="B303" s="2" t="s">
        <v>2162</v>
      </c>
      <c r="C303" s="2" t="s">
        <v>2163</v>
      </c>
      <c r="D303" s="29" t="s">
        <v>2164</v>
      </c>
      <c r="E303" s="29" t="s">
        <v>2165</v>
      </c>
      <c r="F303" s="18">
        <v>17769</v>
      </c>
      <c r="G303" s="8">
        <f ca="1">DATEDIF(F303, TODAY(), "Y")</f>
        <v>77</v>
      </c>
      <c r="H303" s="2" t="s">
        <v>581</v>
      </c>
      <c r="I303" s="2" t="s">
        <v>2166</v>
      </c>
      <c r="J303" s="29"/>
      <c r="L303" s="1">
        <v>635719124</v>
      </c>
      <c r="M303" s="30"/>
      <c r="N303" s="31"/>
      <c r="O303" s="31"/>
      <c r="P303" s="2" t="s">
        <v>2167</v>
      </c>
      <c r="Q303" s="2"/>
      <c r="R303" s="18"/>
      <c r="S303" s="18"/>
      <c r="T303" s="18"/>
      <c r="U303" s="2" t="str" cm="1">
        <f t="array" ref="U303">_xlfn.TEXTJOIN(", ", TRUE, IF(Y303:CG303="X", $Y$3:$CG$3, ""))</f>
        <v/>
      </c>
      <c r="V303" s="18" t="str" cm="1">
        <f t="array" ref="V303">_xlfn.TEXTJOIN(", ", TRUE, IF(Y303:CG303="X", $Y$2:$CG$2, ""))</f>
        <v/>
      </c>
      <c r="W303" s="2" t="str" cm="1">
        <f t="array" ref="W303">_xlfn.TEXTJOIN(", ", TRUE, IF(CH303:CS303="X", $CH$3:$CS$3, ""))</f>
        <v/>
      </c>
      <c r="X303" s="2" t="str" cm="1">
        <f t="array" ref="X303">_xlfn.TEXTJOIN(", ", TRUE, IF(CT303:CX303="X", $CT$3:$CX$3, ""))</f>
        <v/>
      </c>
    </row>
    <row r="304" spans="1:98" ht="18.75" customHeight="1" x14ac:dyDescent="0.25">
      <c r="A304" s="8">
        <v>252</v>
      </c>
      <c r="B304" s="2" t="s">
        <v>2168</v>
      </c>
      <c r="C304" s="2" t="s">
        <v>2169</v>
      </c>
      <c r="D304" s="29" t="s">
        <v>2170</v>
      </c>
      <c r="E304" s="29" t="s">
        <v>2171</v>
      </c>
      <c r="F304" s="18">
        <v>21216</v>
      </c>
      <c r="G304" s="8">
        <f ca="1">DATEDIF(F304, TODAY(), "Y")</f>
        <v>68</v>
      </c>
      <c r="H304" s="2" t="s">
        <v>581</v>
      </c>
      <c r="I304" s="2" t="s">
        <v>2166</v>
      </c>
      <c r="J304" s="29"/>
      <c r="L304" s="1">
        <v>659276692</v>
      </c>
      <c r="M304" s="30"/>
      <c r="N304" s="31"/>
      <c r="O304" s="35"/>
      <c r="P304" s="65" t="s">
        <v>2172</v>
      </c>
      <c r="Q304" s="65"/>
      <c r="R304" s="18"/>
      <c r="S304" s="18"/>
      <c r="T304" s="18"/>
      <c r="U304" s="2" t="str" cm="1">
        <f t="array" ref="U304">_xlfn.TEXTJOIN(", ", TRUE, IF(Y304:CG304="X", $Y$3:$CG$3, ""))</f>
        <v/>
      </c>
      <c r="V304" s="18" t="str" cm="1">
        <f t="array" ref="V304">_xlfn.TEXTJOIN(", ", TRUE, IF(Y304:CG304="X", $Y$2:$CG$2, ""))</f>
        <v/>
      </c>
      <c r="W304" s="2" t="str" cm="1">
        <f t="array" ref="W304">_xlfn.TEXTJOIN(", ", TRUE, IF(CH304:CS304="X", $CH$3:$CS$3, ""))</f>
        <v/>
      </c>
      <c r="X304" s="2" t="str" cm="1">
        <f t="array" ref="X304">_xlfn.TEXTJOIN(", ", TRUE, IF(CT304:CX304="X", $CT$3:$CX$3, ""))</f>
        <v/>
      </c>
    </row>
    <row r="305" spans="1:102" ht="18.75" customHeight="1" x14ac:dyDescent="0.25">
      <c r="A305" s="8">
        <v>253</v>
      </c>
      <c r="B305" s="2" t="s">
        <v>2173</v>
      </c>
      <c r="C305" s="2" t="s">
        <v>2174</v>
      </c>
      <c r="D305" s="29" t="s">
        <v>2175</v>
      </c>
      <c r="E305" s="29" t="s">
        <v>2176</v>
      </c>
      <c r="F305" s="18">
        <v>19879</v>
      </c>
      <c r="G305" s="8">
        <f ca="1">DATEDIF(F305, TODAY(), "Y")</f>
        <v>72</v>
      </c>
      <c r="H305" s="2" t="s">
        <v>581</v>
      </c>
      <c r="I305" s="2" t="s">
        <v>2166</v>
      </c>
      <c r="J305" s="29"/>
      <c r="L305" s="1">
        <v>652729563</v>
      </c>
      <c r="M305" s="30"/>
      <c r="N305" s="31"/>
      <c r="O305" s="31"/>
      <c r="P305" s="2" t="s">
        <v>2177</v>
      </c>
      <c r="Q305" s="2"/>
      <c r="R305" s="18"/>
      <c r="S305" s="18"/>
      <c r="T305" s="18"/>
      <c r="U305" s="2" t="str" cm="1">
        <f t="array" ref="U305">_xlfn.TEXTJOIN(", ", TRUE, IF(Y305:CG305="X", $Y$3:$CG$3, ""))</f>
        <v/>
      </c>
      <c r="V305" s="18" t="str" cm="1">
        <f t="array" ref="V305">_xlfn.TEXTJOIN(", ", TRUE, IF(Y305:CG305="X", $Y$2:$CG$2, ""))</f>
        <v/>
      </c>
      <c r="W305" s="2" t="str" cm="1">
        <f t="array" ref="W305">_xlfn.TEXTJOIN(", ", TRUE, IF(CH305:CS305="X", $CH$3:$CS$3, ""))</f>
        <v/>
      </c>
      <c r="X305" s="2" t="str" cm="1">
        <f t="array" ref="X305">_xlfn.TEXTJOIN(", ", TRUE, IF(CT305:CX305="X", $CT$3:$CX$3, ""))</f>
        <v/>
      </c>
    </row>
    <row r="306" spans="1:102" ht="18.75" customHeight="1" x14ac:dyDescent="0.25">
      <c r="A306" s="8">
        <v>254</v>
      </c>
      <c r="B306" s="2" t="s">
        <v>2178</v>
      </c>
      <c r="C306" s="2" t="s">
        <v>2179</v>
      </c>
      <c r="D306" s="29" t="s">
        <v>2180</v>
      </c>
      <c r="E306" s="29" t="s">
        <v>2181</v>
      </c>
      <c r="F306" s="18">
        <v>27451</v>
      </c>
      <c r="G306" s="8">
        <f ca="1">DATEDIF(F306, TODAY(), "Y")</f>
        <v>51</v>
      </c>
      <c r="H306" s="2" t="s">
        <v>581</v>
      </c>
      <c r="I306" s="2" t="s">
        <v>2182</v>
      </c>
      <c r="J306" s="29"/>
      <c r="K306" s="65"/>
      <c r="L306" s="1">
        <v>678981243</v>
      </c>
      <c r="M306" s="30"/>
      <c r="N306" s="31"/>
      <c r="O306" s="31"/>
      <c r="P306" s="2" t="s">
        <v>2183</v>
      </c>
      <c r="Q306" s="2"/>
      <c r="R306" s="18"/>
      <c r="S306" s="18"/>
      <c r="T306" s="18"/>
      <c r="U306" s="2" t="str" cm="1">
        <f t="array" ref="U306">_xlfn.TEXTJOIN(", ", TRUE, IF(Y306:CG306="X", $Y$3:$CG$3, ""))</f>
        <v/>
      </c>
      <c r="V306" s="18" t="str" cm="1">
        <f t="array" ref="V306">_xlfn.TEXTJOIN(", ", TRUE, IF(Y306:CG306="X", $Y$2:$CG$2, ""))</f>
        <v/>
      </c>
      <c r="W306" s="2" t="str" cm="1">
        <f t="array" ref="W306">_xlfn.TEXTJOIN(", ", TRUE, IF(CH306:CS306="X", $CH$3:$CS$3, ""))</f>
        <v/>
      </c>
      <c r="X306" s="2" t="str" cm="1">
        <f t="array" ref="X306">_xlfn.TEXTJOIN(", ", TRUE, IF(CT306:CX306="X", $CT$3:$CX$3, ""))</f>
        <v/>
      </c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  <c r="AK306" s="65"/>
      <c r="AL306" s="65"/>
      <c r="AM306" s="65"/>
      <c r="AN306" s="65"/>
      <c r="AO306" s="65"/>
      <c r="AP306" s="65"/>
      <c r="AQ306" s="65"/>
      <c r="AR306" s="65"/>
      <c r="AS306" s="65"/>
      <c r="AT306" s="65"/>
      <c r="AU306" s="65"/>
      <c r="AV306" s="65"/>
      <c r="AW306" s="65"/>
      <c r="AX306" s="65"/>
      <c r="AY306" s="65"/>
      <c r="AZ306" s="65"/>
      <c r="BA306" s="65"/>
      <c r="BB306" s="65"/>
      <c r="BC306" s="65"/>
      <c r="BD306" s="65"/>
      <c r="BE306" s="65"/>
      <c r="BF306" s="65"/>
      <c r="BG306" s="65"/>
      <c r="BH306" s="65"/>
      <c r="BI306" s="65"/>
      <c r="BJ306" s="65"/>
      <c r="BK306" s="65"/>
      <c r="BL306" s="65"/>
      <c r="BM306" s="65"/>
      <c r="BN306" s="65"/>
      <c r="BO306" s="65"/>
      <c r="BP306" s="65"/>
      <c r="BQ306" s="65"/>
      <c r="BR306" s="65"/>
      <c r="BS306" s="65"/>
      <c r="BT306" s="65"/>
      <c r="BU306" s="65"/>
      <c r="BV306" s="65"/>
      <c r="BW306" s="65"/>
      <c r="BX306" s="65"/>
      <c r="BY306" s="65"/>
      <c r="BZ306" s="65"/>
      <c r="CA306" s="65"/>
      <c r="CB306" s="65"/>
      <c r="CC306" s="65"/>
      <c r="CD306" s="65"/>
      <c r="CE306" s="65"/>
      <c r="CF306" s="65"/>
      <c r="CG306" s="65"/>
      <c r="CH306" s="65"/>
      <c r="CI306" s="65"/>
      <c r="CJ306" s="65"/>
      <c r="CK306" s="65"/>
      <c r="CL306" s="65"/>
      <c r="CM306" s="65"/>
      <c r="CN306" s="65"/>
      <c r="CO306" s="65"/>
      <c r="CP306" s="65"/>
      <c r="CQ306" s="65"/>
      <c r="CR306" s="65"/>
      <c r="CS306" s="65"/>
      <c r="CT306" s="65"/>
      <c r="CU306" s="65"/>
      <c r="CV306" s="65"/>
      <c r="CW306" s="65"/>
      <c r="CX306" s="65"/>
    </row>
    <row r="307" spans="1:102" ht="18.75" customHeight="1" x14ac:dyDescent="0.25">
      <c r="A307" s="8">
        <v>256</v>
      </c>
      <c r="B307" s="2" t="s">
        <v>2189</v>
      </c>
      <c r="C307" s="2" t="s">
        <v>2190</v>
      </c>
      <c r="D307" s="29" t="s">
        <v>2191</v>
      </c>
      <c r="E307" s="29" t="s">
        <v>2192</v>
      </c>
      <c r="F307" s="18"/>
      <c r="G307" s="8">
        <f ca="1">DATEDIF(F307, TODAY(), "Y")</f>
        <v>126</v>
      </c>
      <c r="H307" s="2" t="s">
        <v>581</v>
      </c>
      <c r="I307" s="2" t="s">
        <v>2193</v>
      </c>
      <c r="J307" s="29"/>
      <c r="L307" s="1">
        <v>696979887</v>
      </c>
      <c r="M307" s="30"/>
      <c r="N307" s="31"/>
      <c r="O307" s="35"/>
      <c r="P307" s="65" t="s">
        <v>2194</v>
      </c>
      <c r="Q307" s="65" t="s">
        <v>3021</v>
      </c>
      <c r="R307" s="49"/>
      <c r="S307" s="49"/>
      <c r="T307" s="49"/>
      <c r="U307" s="2" t="str" cm="1">
        <f t="array" ref="U307">_xlfn.TEXTJOIN(", ", TRUE, IF(Y307:CG307="X", $Y$3:$CG$3, ""))</f>
        <v>Fruta</v>
      </c>
      <c r="V307" s="18" t="str" cm="1">
        <f t="array" ref="V307">_xlfn.TEXTJOIN(", ", TRUE, IF(Y307:CG307="X", $Y$2:$CG$2, ""))</f>
        <v>FRUTA</v>
      </c>
      <c r="W307" s="2" t="str" cm="1">
        <f t="array" ref="W307">_xlfn.TEXTJOIN(", ", TRUE, IF(CH307:CS307="X", $CH$3:$CS$3, ""))</f>
        <v/>
      </c>
      <c r="X307" s="2" t="str" cm="1">
        <f t="array" ref="X307">_xlfn.TEXTJOIN(", ", TRUE, IF(CT307:CX307="X", $CT$3:$CX$3, ""))</f>
        <v>Ekologikoa</v>
      </c>
      <c r="BD307" s="65" t="s">
        <v>764</v>
      </c>
      <c r="CT307" s="65" t="s">
        <v>764</v>
      </c>
    </row>
    <row r="308" spans="1:102" ht="18.75" customHeight="1" x14ac:dyDescent="0.25">
      <c r="A308" s="8">
        <v>258</v>
      </c>
      <c r="B308" s="2" t="s">
        <v>2202</v>
      </c>
      <c r="C308" s="2" t="s">
        <v>2203</v>
      </c>
      <c r="D308" s="29" t="s">
        <v>2204</v>
      </c>
      <c r="E308" s="29" t="s">
        <v>2205</v>
      </c>
      <c r="F308" s="18">
        <v>25309</v>
      </c>
      <c r="G308" s="8">
        <f ca="1">DATEDIF(F308, TODAY(), "Y")</f>
        <v>57</v>
      </c>
      <c r="H308" s="2" t="s">
        <v>581</v>
      </c>
      <c r="I308" s="2" t="s">
        <v>2206</v>
      </c>
      <c r="J308" s="29"/>
      <c r="L308" s="1">
        <v>628180876</v>
      </c>
      <c r="M308" s="30"/>
      <c r="N308" s="31"/>
      <c r="O308" s="35"/>
      <c r="P308" s="65" t="s">
        <v>2207</v>
      </c>
      <c r="Q308" s="65"/>
      <c r="R308" s="18"/>
      <c r="S308" s="18"/>
      <c r="T308" s="18"/>
      <c r="U308" s="2" t="str" cm="1">
        <f t="array" ref="U308">_xlfn.TEXTJOIN(", ", TRUE, IF(Y308:CG308="X", $Y$3:$CG$3, ""))</f>
        <v/>
      </c>
      <c r="V308" s="18" t="str" cm="1">
        <f t="array" ref="V308">_xlfn.TEXTJOIN(", ", TRUE, IF(Y308:CG308="X", $Y$2:$CG$2, ""))</f>
        <v/>
      </c>
      <c r="W308" s="2" t="str" cm="1">
        <f t="array" ref="W308">_xlfn.TEXTJOIN(", ", TRUE, IF(CH308:CS308="X", $CH$3:$CS$3, ""))</f>
        <v/>
      </c>
      <c r="X308" s="2" t="str" cm="1">
        <f t="array" ref="X308">_xlfn.TEXTJOIN(", ", TRUE, IF(CT308:CX308="X", $CT$3:$CX$3, ""))</f>
        <v/>
      </c>
    </row>
    <row r="309" spans="1:102" ht="18.75" customHeight="1" x14ac:dyDescent="0.25">
      <c r="A309" s="8">
        <v>264</v>
      </c>
      <c r="B309" s="2" t="s">
        <v>2229</v>
      </c>
      <c r="C309" s="2" t="s">
        <v>2230</v>
      </c>
      <c r="D309" s="29" t="s">
        <v>2231</v>
      </c>
      <c r="E309" s="29" t="s">
        <v>2232</v>
      </c>
      <c r="F309" s="18">
        <v>20331</v>
      </c>
      <c r="G309" s="8">
        <f ca="1">DATEDIF(F309, TODAY(), "Y")</f>
        <v>70</v>
      </c>
      <c r="H309" s="2" t="s">
        <v>585</v>
      </c>
      <c r="I309" s="2" t="s">
        <v>2233</v>
      </c>
      <c r="J309" s="29"/>
      <c r="L309" s="1" t="s">
        <v>2236</v>
      </c>
      <c r="M309" s="30"/>
      <c r="N309" s="31"/>
      <c r="O309" s="35"/>
      <c r="P309" s="65" t="s">
        <v>2237</v>
      </c>
      <c r="Q309" s="65" t="s">
        <v>3020</v>
      </c>
      <c r="R309" s="2" t="s">
        <v>1216</v>
      </c>
      <c r="S309" s="2"/>
      <c r="T309" s="2"/>
      <c r="U309" s="2" t="str" cm="1">
        <f t="array" ref="U309">_xlfn.TEXTJOIN(", ", TRUE, IF(Y309:CG309="X", $Y$3:$CG$3, ""))</f>
        <v>Ardi esnea, Ardi haragia, Barazkiak aire librean, Babarrunak, Fruta, Intxaurrak</v>
      </c>
      <c r="V309" s="18" t="str" cm="1">
        <f t="array" ref="V309">_xlfn.TEXTJOIN(", ", TRUE, IF(Y309:CG309="X", $Y$2:$CG$2, ""))</f>
        <v>ESNEKIAK, HARAGIA, BARAZKIAK, LEKALEAK, FRUTA, FRUITU LEHORRAK</v>
      </c>
      <c r="W309" s="2" t="str" cm="1">
        <f t="array" ref="W309">_xlfn.TEXTJOIN(", ", TRUE, IF(CH309:CS309="X", $CH$3:$CS$3, ""))</f>
        <v>Etxetik, Dendetan, Harategian, Bertatik Bertara</v>
      </c>
      <c r="X309" s="2" t="str" cm="1">
        <f t="array" ref="X309">_xlfn.TEXTJOIN(", ", TRUE, IF(CT309:CX309="X", $CT$3:$CX$3, ""))</f>
        <v/>
      </c>
      <c r="Z309" s="65" t="s">
        <v>764</v>
      </c>
      <c r="AK309" s="65" t="s">
        <v>764</v>
      </c>
      <c r="AS309" s="65" t="s">
        <v>764</v>
      </c>
      <c r="AZ309" s="65" t="s">
        <v>764</v>
      </c>
      <c r="BD309" s="65" t="s">
        <v>764</v>
      </c>
      <c r="BO309" s="65" t="s">
        <v>764</v>
      </c>
      <c r="CI309" s="65" t="s">
        <v>764</v>
      </c>
      <c r="CJ309" s="65" t="s">
        <v>764</v>
      </c>
      <c r="CL309" s="65" t="s">
        <v>764</v>
      </c>
      <c r="CR309" s="65" t="s">
        <v>764</v>
      </c>
    </row>
    <row r="310" spans="1:102" ht="18.75" customHeight="1" x14ac:dyDescent="0.25">
      <c r="A310" s="8">
        <v>265</v>
      </c>
      <c r="B310" s="2" t="s">
        <v>2238</v>
      </c>
      <c r="C310" s="2" t="s">
        <v>2239</v>
      </c>
      <c r="D310" s="29" t="s">
        <v>2240</v>
      </c>
      <c r="E310" s="29" t="s">
        <v>2241</v>
      </c>
      <c r="F310" s="18">
        <v>18691</v>
      </c>
      <c r="G310" s="8">
        <f ca="1">DATEDIF(F310, TODAY(), "Y")</f>
        <v>75</v>
      </c>
      <c r="H310" s="2" t="s">
        <v>585</v>
      </c>
      <c r="I310" s="2" t="s">
        <v>2242</v>
      </c>
      <c r="J310" s="29"/>
      <c r="L310" s="1">
        <v>670406756</v>
      </c>
      <c r="M310" s="30"/>
      <c r="N310" s="31"/>
      <c r="O310" s="31"/>
      <c r="P310" s="2" t="s">
        <v>2243</v>
      </c>
      <c r="Q310" s="2" t="s">
        <v>3019</v>
      </c>
      <c r="R310" s="18"/>
      <c r="S310" s="18"/>
      <c r="T310" s="18"/>
      <c r="U310" s="2" t="str" cm="1">
        <f t="array" ref="U310">_xlfn.TEXTJOIN(", ", TRUE, IF(Y310:CG310="X", $Y$3:$CG$3, ""))</f>
        <v>Barazkiak aire librean, Sagarrak, Zukuak</v>
      </c>
      <c r="V310" s="18" t="str" cm="1">
        <f t="array" ref="V310">_xlfn.TEXTJOIN(", ", TRUE, IF(Y310:CG310="X", $Y$2:$CG$2, ""))</f>
        <v>BARAZKIAK, FRUTA, EDARIAK</v>
      </c>
      <c r="W310" s="2" t="str" cm="1">
        <f t="array" ref="W310">_xlfn.TEXTJOIN(", ", TRUE, IF(CH310:CS310="X", $CH$3:$CS$3, ""))</f>
        <v/>
      </c>
      <c r="X310" s="2" t="str" cm="1">
        <f t="array" ref="X310">_xlfn.TEXTJOIN(", ", TRUE, IF(CT310:CX310="X", $CT$3:$CX$3, ""))</f>
        <v/>
      </c>
      <c r="AS310" s="65" t="s">
        <v>764</v>
      </c>
      <c r="BF310" s="65" t="s">
        <v>764</v>
      </c>
      <c r="CF310" s="65" t="s">
        <v>764</v>
      </c>
    </row>
    <row r="311" spans="1:102" ht="18.75" customHeight="1" x14ac:dyDescent="0.25">
      <c r="A311" s="8">
        <v>266</v>
      </c>
      <c r="B311" s="2" t="s">
        <v>2244</v>
      </c>
      <c r="C311" s="2" t="s">
        <v>2245</v>
      </c>
      <c r="D311" s="29" t="s">
        <v>2246</v>
      </c>
      <c r="E311" s="29" t="s">
        <v>2247</v>
      </c>
      <c r="F311" s="18">
        <v>23875</v>
      </c>
      <c r="G311" s="8">
        <f ca="1">DATEDIF(F311, TODAY(), "Y")</f>
        <v>61</v>
      </c>
      <c r="H311" s="2" t="s">
        <v>585</v>
      </c>
      <c r="I311" s="2" t="s">
        <v>2248</v>
      </c>
      <c r="J311" s="29"/>
      <c r="L311" s="1"/>
      <c r="M311" s="30"/>
      <c r="N311" s="31"/>
      <c r="O311" s="31"/>
      <c r="P311" s="49"/>
      <c r="Q311" s="49"/>
      <c r="R311" s="18"/>
      <c r="S311" s="18"/>
      <c r="T311" s="18"/>
      <c r="U311" s="2" t="str" cm="1">
        <f t="array" ref="U311">_xlfn.TEXTJOIN(", ", TRUE, IF(Y311:CG311="X", $Y$3:$CG$3, ""))</f>
        <v/>
      </c>
      <c r="V311" s="18" t="str" cm="1">
        <f t="array" ref="V311">_xlfn.TEXTJOIN(", ", TRUE, IF(Y311:CG311="X", $Y$2:$CG$2, ""))</f>
        <v/>
      </c>
      <c r="W311" s="2" t="str" cm="1">
        <f t="array" ref="W311">_xlfn.TEXTJOIN(", ", TRUE, IF(CH311:CS311="X", $CH$3:$CS$3, ""))</f>
        <v/>
      </c>
      <c r="X311" s="2" t="str" cm="1">
        <f t="array" ref="X311">_xlfn.TEXTJOIN(", ", TRUE, IF(CT311:CX311="X", $CT$3:$CX$3, ""))</f>
        <v/>
      </c>
    </row>
    <row r="312" spans="1:102" ht="18.75" customHeight="1" x14ac:dyDescent="0.25">
      <c r="A312" s="8">
        <v>268</v>
      </c>
      <c r="B312" s="2" t="s">
        <v>2257</v>
      </c>
      <c r="C312" s="2" t="s">
        <v>2258</v>
      </c>
      <c r="D312" s="29" t="s">
        <v>2259</v>
      </c>
      <c r="E312" s="29" t="s">
        <v>2260</v>
      </c>
      <c r="F312" s="18">
        <v>23629</v>
      </c>
      <c r="G312" s="8">
        <f ca="1">DATEDIF(F312, TODAY(), "Y")</f>
        <v>61</v>
      </c>
      <c r="H312" s="2" t="s">
        <v>585</v>
      </c>
      <c r="I312" s="2" t="s">
        <v>2261</v>
      </c>
      <c r="J312" s="29"/>
      <c r="L312" s="1">
        <v>608771332</v>
      </c>
      <c r="M312" s="30"/>
      <c r="N312" s="31"/>
      <c r="O312" s="35"/>
      <c r="P312" s="65" t="s">
        <v>2262</v>
      </c>
      <c r="Q312" s="65"/>
      <c r="R312" s="18"/>
      <c r="S312" s="18"/>
      <c r="T312" s="18"/>
      <c r="U312" s="2" t="str" cm="1">
        <f t="array" ref="U312">_xlfn.TEXTJOIN(", ", TRUE, IF(Y312:CG312="X", $Y$3:$CG$3, ""))</f>
        <v/>
      </c>
      <c r="V312" s="18" t="str" cm="1">
        <f t="array" ref="V312">_xlfn.TEXTJOIN(", ", TRUE, IF(Y312:CG312="X", $Y$2:$CG$2, ""))</f>
        <v/>
      </c>
      <c r="W312" s="2" t="str" cm="1">
        <f t="array" ref="W312">_xlfn.TEXTJOIN(", ", TRUE, IF(CH312:CS312="X", $CH$3:$CS$3, ""))</f>
        <v/>
      </c>
      <c r="X312" s="2" t="str" cm="1">
        <f t="array" ref="X312">_xlfn.TEXTJOIN(", ", TRUE, IF(CT312:CX312="X", $CT$3:$CX$3, ""))</f>
        <v/>
      </c>
    </row>
    <row r="313" spans="1:102" ht="18.75" customHeight="1" x14ac:dyDescent="0.25">
      <c r="A313" s="8">
        <v>269</v>
      </c>
      <c r="B313" s="2" t="s">
        <v>2263</v>
      </c>
      <c r="C313" s="2" t="s">
        <v>2264</v>
      </c>
      <c r="D313" s="29" t="s">
        <v>2265</v>
      </c>
      <c r="E313" s="29" t="s">
        <v>2266</v>
      </c>
      <c r="F313" s="18">
        <v>22210</v>
      </c>
      <c r="G313" s="8">
        <f ca="1">DATEDIF(F313, TODAY(), "Y")</f>
        <v>65</v>
      </c>
      <c r="H313" s="2" t="s">
        <v>585</v>
      </c>
      <c r="I313" s="2" t="s">
        <v>2267</v>
      </c>
      <c r="J313" s="29"/>
      <c r="L313" s="1">
        <v>688647053</v>
      </c>
      <c r="M313" s="30"/>
      <c r="N313" s="31"/>
      <c r="O313" s="31"/>
      <c r="P313" s="2" t="s">
        <v>2268</v>
      </c>
      <c r="Q313" s="2"/>
      <c r="R313" s="18"/>
      <c r="S313" s="18"/>
      <c r="T313" s="18"/>
      <c r="U313" s="2" t="str" cm="1">
        <f t="array" ref="U313">_xlfn.TEXTJOIN(", ", TRUE, IF(Y313:CG313="X", $Y$3:$CG$3, ""))</f>
        <v/>
      </c>
      <c r="V313" s="18" t="str" cm="1">
        <f t="array" ref="V313">_xlfn.TEXTJOIN(", ", TRUE, IF(Y313:CG313="X", $Y$2:$CG$2, ""))</f>
        <v/>
      </c>
      <c r="W313" s="2" t="str" cm="1">
        <f t="array" ref="W313">_xlfn.TEXTJOIN(", ", TRUE, IF(CH313:CS313="X", $CH$3:$CS$3, ""))</f>
        <v/>
      </c>
      <c r="X313" s="2" t="str" cm="1">
        <f t="array" ref="X313">_xlfn.TEXTJOIN(", ", TRUE, IF(CT313:CX313="X", $CT$3:$CX$3, ""))</f>
        <v/>
      </c>
    </row>
    <row r="314" spans="1:102" ht="18.75" customHeight="1" x14ac:dyDescent="0.25">
      <c r="A314" s="8">
        <v>270</v>
      </c>
      <c r="B314" s="2" t="s">
        <v>2269</v>
      </c>
      <c r="C314" s="2" t="s">
        <v>2270</v>
      </c>
      <c r="D314" s="29" t="s">
        <v>2271</v>
      </c>
      <c r="E314" s="29" t="s">
        <v>2272</v>
      </c>
      <c r="F314" s="18">
        <v>18965</v>
      </c>
      <c r="G314" s="8">
        <f ca="1">DATEDIF(F314, TODAY(), "Y")</f>
        <v>74</v>
      </c>
      <c r="H314" s="2" t="s">
        <v>585</v>
      </c>
      <c r="I314" s="2" t="s">
        <v>2273</v>
      </c>
      <c r="J314" s="29"/>
      <c r="L314" s="1">
        <v>608696472</v>
      </c>
      <c r="M314" s="30"/>
      <c r="N314" s="31"/>
      <c r="O314" s="31"/>
      <c r="P314" s="2" t="s">
        <v>2274</v>
      </c>
      <c r="Q314" s="2"/>
      <c r="R314" s="18"/>
      <c r="S314" s="18"/>
      <c r="T314" s="18"/>
      <c r="U314" s="2" t="str" cm="1">
        <f t="array" ref="U314">_xlfn.TEXTJOIN(", ", TRUE, IF(Y314:CG314="X", $Y$3:$CG$3, ""))</f>
        <v/>
      </c>
      <c r="V314" s="18" t="str" cm="1">
        <f t="array" ref="V314">_xlfn.TEXTJOIN(", ", TRUE, IF(Y314:CG314="X", $Y$2:$CG$2, ""))</f>
        <v/>
      </c>
      <c r="W314" s="2" t="str" cm="1">
        <f t="array" ref="W314">_xlfn.TEXTJOIN(", ", TRUE, IF(CH314:CS314="X", $CH$3:$CS$3, ""))</f>
        <v/>
      </c>
      <c r="X314" s="2" t="str" cm="1">
        <f t="array" ref="X314">_xlfn.TEXTJOIN(", ", TRUE, IF(CT314:CX314="X", $CT$3:$CX$3, ""))</f>
        <v/>
      </c>
    </row>
    <row r="315" spans="1:102" ht="18.75" customHeight="1" x14ac:dyDescent="0.25">
      <c r="A315" s="8">
        <v>271</v>
      </c>
      <c r="B315" s="2" t="s">
        <v>2275</v>
      </c>
      <c r="C315" s="2" t="s">
        <v>2276</v>
      </c>
      <c r="D315" s="29" t="s">
        <v>2277</v>
      </c>
      <c r="E315" s="29" t="s">
        <v>2278</v>
      </c>
      <c r="F315" s="18">
        <v>25935</v>
      </c>
      <c r="G315" s="8">
        <f ca="1">DATEDIF(F315, TODAY(), "Y")</f>
        <v>55</v>
      </c>
      <c r="H315" s="2" t="s">
        <v>585</v>
      </c>
      <c r="I315" s="2" t="s">
        <v>2279</v>
      </c>
      <c r="J315" s="29"/>
      <c r="L315" s="1" t="s">
        <v>2280</v>
      </c>
      <c r="M315" s="30"/>
      <c r="N315" s="31"/>
      <c r="O315" s="31"/>
      <c r="P315" s="2" t="s">
        <v>2281</v>
      </c>
      <c r="Q315" s="2" t="s">
        <v>3019</v>
      </c>
      <c r="R315" s="2" t="s">
        <v>1216</v>
      </c>
      <c r="S315" s="2"/>
      <c r="T315" s="2"/>
      <c r="U315" s="2" t="str" cm="1">
        <f t="array" ref="U315">_xlfn.TEXTJOIN(", ", TRUE, IF(Y315:CG315="X", $Y$3:$CG$3, ""))</f>
        <v>Ardi esnea, Ardi gazta, Ardi haragia, Barazkiak aire librean, Fruta, Sagardoa, Zukuak</v>
      </c>
      <c r="V315" s="18" t="str" cm="1">
        <f t="array" ref="V315">_xlfn.TEXTJOIN(", ", TRUE, IF(Y315:CG315="X", $Y$2:$CG$2, ""))</f>
        <v>ESNEKIAK, ESNEKIAK, HARAGIA, BARAZKIAK, FRUTA, EDARIAK, EDARIAK</v>
      </c>
      <c r="W315" s="2" t="str" cm="1">
        <f t="array" ref="W315">_xlfn.TEXTJOIN(", ", TRUE, IF(CH315:CS315="X", $CH$3:$CS$3, ""))</f>
        <v>Harategian, Bertatik Bertara</v>
      </c>
      <c r="X315" s="2" t="str" cm="1">
        <f t="array" ref="X315">_xlfn.TEXTJOIN(", ", TRUE, IF(CT315:CX315="X", $CT$3:$CX$3, ""))</f>
        <v/>
      </c>
      <c r="Z315" s="65" t="s">
        <v>764</v>
      </c>
      <c r="AC315" s="65" t="s">
        <v>764</v>
      </c>
      <c r="AK315" s="65" t="s">
        <v>764</v>
      </c>
      <c r="AS315" s="65" t="s">
        <v>764</v>
      </c>
      <c r="BD315" s="65" t="s">
        <v>764</v>
      </c>
      <c r="CB315" s="65" t="s">
        <v>764</v>
      </c>
      <c r="CF315" s="65" t="s">
        <v>764</v>
      </c>
      <c r="CL315" s="65" t="s">
        <v>764</v>
      </c>
      <c r="CR315" s="65" t="s">
        <v>764</v>
      </c>
    </row>
    <row r="316" spans="1:102" ht="18.75" customHeight="1" x14ac:dyDescent="0.25">
      <c r="A316" s="8">
        <v>272</v>
      </c>
      <c r="B316" s="2" t="s">
        <v>2282</v>
      </c>
      <c r="C316" s="2" t="s">
        <v>2283</v>
      </c>
      <c r="D316" s="29" t="s">
        <v>2284</v>
      </c>
      <c r="E316" s="29" t="s">
        <v>2285</v>
      </c>
      <c r="F316" s="18">
        <v>24158</v>
      </c>
      <c r="G316" s="8">
        <f ca="1">DATEDIF(F316, TODAY(), "Y")</f>
        <v>60</v>
      </c>
      <c r="H316" s="2" t="s">
        <v>585</v>
      </c>
      <c r="I316" s="2" t="s">
        <v>2286</v>
      </c>
      <c r="J316" s="29"/>
      <c r="L316" s="1">
        <v>673336078</v>
      </c>
      <c r="M316" s="30"/>
      <c r="N316" s="31"/>
      <c r="O316" s="31"/>
      <c r="P316" s="2" t="s">
        <v>2287</v>
      </c>
      <c r="Q316" s="2"/>
      <c r="R316" s="18"/>
      <c r="S316" s="18"/>
      <c r="T316" s="18"/>
      <c r="U316" s="2" t="str" cm="1">
        <f t="array" ref="U316">_xlfn.TEXTJOIN(", ", TRUE, IF(Y316:CG316="X", $Y$3:$CG$3, ""))</f>
        <v/>
      </c>
      <c r="V316" s="18" t="str" cm="1">
        <f t="array" ref="V316">_xlfn.TEXTJOIN(", ", TRUE, IF(Y316:CG316="X", $Y$2:$CG$2, ""))</f>
        <v/>
      </c>
      <c r="W316" s="2" t="str" cm="1">
        <f t="array" ref="W316">_xlfn.TEXTJOIN(", ", TRUE, IF(CH316:CS316="X", $CH$3:$CS$3, ""))</f>
        <v/>
      </c>
      <c r="X316" s="2" t="str" cm="1">
        <f t="array" ref="X316">_xlfn.TEXTJOIN(", ", TRUE, IF(CT316:CX316="X", $CT$3:$CX$3, ""))</f>
        <v/>
      </c>
      <c r="AC316" s="49"/>
      <c r="CW316" s="49"/>
      <c r="CX316" s="49"/>
    </row>
    <row r="317" spans="1:102" ht="18.75" customHeight="1" x14ac:dyDescent="0.25">
      <c r="A317" s="8">
        <v>273</v>
      </c>
      <c r="B317" s="2" t="s">
        <v>2288</v>
      </c>
      <c r="C317" s="2" t="s">
        <v>2289</v>
      </c>
      <c r="D317" s="29" t="s">
        <v>2290</v>
      </c>
      <c r="E317" s="29" t="s">
        <v>2291</v>
      </c>
      <c r="F317" s="18">
        <v>18769</v>
      </c>
      <c r="G317" s="8">
        <f ca="1">DATEDIF(F317, TODAY(), "Y")</f>
        <v>75</v>
      </c>
      <c r="H317" s="2" t="s">
        <v>585</v>
      </c>
      <c r="I317" s="2" t="s">
        <v>796</v>
      </c>
      <c r="J317" s="2"/>
      <c r="K317" s="49"/>
      <c r="L317" s="1"/>
      <c r="M317" s="30"/>
      <c r="N317" s="31"/>
      <c r="O317" s="31"/>
      <c r="P317" s="49"/>
      <c r="Q317" s="49"/>
      <c r="R317" s="18"/>
      <c r="S317" s="18"/>
      <c r="T317" s="18"/>
      <c r="U317" s="2" t="str" cm="1">
        <f t="array" ref="U317">_xlfn.TEXTJOIN(", ", TRUE, IF(Y317:CG317="X", $Y$3:$CG$3, ""))</f>
        <v/>
      </c>
      <c r="V317" s="18" t="str" cm="1">
        <f t="array" ref="V317">_xlfn.TEXTJOIN(", ", TRUE, IF(Y317:CG317="X", $Y$2:$CG$2, ""))</f>
        <v/>
      </c>
      <c r="W317" s="2" t="str" cm="1">
        <f t="array" ref="W317">_xlfn.TEXTJOIN(", ", TRUE, IF(CH317:CS317="X", $CH$3:$CS$3, ""))</f>
        <v/>
      </c>
      <c r="X317" s="2" t="str" cm="1">
        <f t="array" ref="X317">_xlfn.TEXTJOIN(", ", TRUE, IF(CT317:CX317="X", $CT$3:$CX$3, ""))</f>
        <v/>
      </c>
      <c r="AC317" s="49"/>
      <c r="CW317" s="49"/>
      <c r="CX317" s="49"/>
    </row>
    <row r="318" spans="1:102" ht="18.75" customHeight="1" x14ac:dyDescent="0.25">
      <c r="A318" s="8">
        <v>274</v>
      </c>
      <c r="B318" s="2" t="s">
        <v>2292</v>
      </c>
      <c r="C318" s="2" t="s">
        <v>2293</v>
      </c>
      <c r="D318" s="29" t="s">
        <v>2294</v>
      </c>
      <c r="E318" s="29" t="s">
        <v>2295</v>
      </c>
      <c r="F318" s="18">
        <v>21528</v>
      </c>
      <c r="G318" s="8">
        <f ca="1">DATEDIF(F318, TODAY(), "Y")</f>
        <v>67</v>
      </c>
      <c r="H318" s="2" t="s">
        <v>468</v>
      </c>
      <c r="I318" s="2" t="s">
        <v>1874</v>
      </c>
      <c r="J318" s="29"/>
      <c r="K318" s="82"/>
      <c r="L318" s="1">
        <v>670974981</v>
      </c>
      <c r="M318" s="30"/>
      <c r="N318" s="31"/>
      <c r="O318" s="31"/>
      <c r="P318" s="2" t="s">
        <v>2296</v>
      </c>
      <c r="Q318" s="2" t="s">
        <v>3020</v>
      </c>
      <c r="R318" s="2" t="s">
        <v>772</v>
      </c>
      <c r="S318" s="2"/>
      <c r="T318" s="2"/>
      <c r="U318" s="2" t="str" cm="1">
        <f t="array" ref="U318">_xlfn.TEXTJOIN(", ", TRUE, IF(Y318:CG318="X", $Y$3:$CG$3, ""))</f>
        <v>Arrautzak, Barazkiak aire librean</v>
      </c>
      <c r="V318" s="18" t="str" cm="1">
        <f t="array" ref="V318">_xlfn.TEXTJOIN(", ", TRUE, IF(Y318:CG318="X", $Y$2:$CG$2, ""))</f>
        <v>OILOAK, BARAZKIAK</v>
      </c>
      <c r="W318" s="2" t="str" cm="1">
        <f t="array" ref="W318">_xlfn.TEXTJOIN(", ", TRUE, IF(CH318:CS318="X", $CH$3:$CS$3, ""))</f>
        <v/>
      </c>
      <c r="X318" s="2" t="str" cm="1">
        <f t="array" ref="X318">_xlfn.TEXTJOIN(", ", TRUE, IF(CT318:CX318="X", $CT$3:$CX$3, ""))</f>
        <v/>
      </c>
      <c r="AC318" s="82"/>
      <c r="AR318" s="65" t="s">
        <v>764</v>
      </c>
      <c r="AS318" s="65" t="s">
        <v>764</v>
      </c>
      <c r="CW318" s="82"/>
      <c r="CX318" s="82"/>
    </row>
    <row r="319" spans="1:102" ht="18.75" customHeight="1" x14ac:dyDescent="0.25">
      <c r="A319" s="8">
        <v>276</v>
      </c>
      <c r="B319" s="2" t="s">
        <v>2304</v>
      </c>
      <c r="C319" s="2" t="s">
        <v>2305</v>
      </c>
      <c r="D319" s="29" t="s">
        <v>2306</v>
      </c>
      <c r="E319" s="29" t="s">
        <v>2307</v>
      </c>
      <c r="F319" s="18">
        <v>20505</v>
      </c>
      <c r="G319" s="8">
        <f ca="1">DATEDIF(F319, TODAY(), "Y")</f>
        <v>70</v>
      </c>
      <c r="H319" s="2" t="s">
        <v>2308</v>
      </c>
      <c r="I319" s="2" t="s">
        <v>1021</v>
      </c>
      <c r="J319" s="29"/>
      <c r="L319" s="1">
        <v>686228278</v>
      </c>
      <c r="M319" s="30"/>
      <c r="N319" s="31"/>
      <c r="O319" s="35"/>
      <c r="P319" s="65" t="s">
        <v>2309</v>
      </c>
      <c r="Q319" s="65"/>
      <c r="R319" s="18"/>
      <c r="S319" s="18"/>
      <c r="T319" s="18"/>
      <c r="U319" s="2" t="str" cm="1">
        <f t="array" ref="U319">_xlfn.TEXTJOIN(", ", TRUE, IF(Y319:CG319="X", $Y$3:$CG$3, ""))</f>
        <v/>
      </c>
      <c r="V319" s="18" t="str" cm="1">
        <f t="array" ref="V319">_xlfn.TEXTJOIN(", ", TRUE, IF(Y319:CG319="X", $Y$2:$CG$2, ""))</f>
        <v/>
      </c>
      <c r="W319" s="2" t="str" cm="1">
        <f t="array" ref="W319">_xlfn.TEXTJOIN(", ", TRUE, IF(CH319:CS319="X", $CH$3:$CS$3, ""))</f>
        <v/>
      </c>
      <c r="X319" s="2" t="str" cm="1">
        <f t="array" ref="X319">_xlfn.TEXTJOIN(", ", TRUE, IF(CT319:CX319="X", $CT$3:$CX$3, ""))</f>
        <v/>
      </c>
    </row>
    <row r="320" spans="1:102" ht="18.75" customHeight="1" x14ac:dyDescent="0.25">
      <c r="A320" s="8">
        <v>278</v>
      </c>
      <c r="B320" s="2" t="s">
        <v>2318</v>
      </c>
      <c r="C320" s="2" t="s">
        <v>2319</v>
      </c>
      <c r="D320" s="29" t="s">
        <v>2320</v>
      </c>
      <c r="E320" s="29" t="s">
        <v>2321</v>
      </c>
      <c r="F320" s="18">
        <v>24229</v>
      </c>
      <c r="G320" s="8">
        <f ca="1">DATEDIF(F320, TODAY(), "Y")</f>
        <v>60</v>
      </c>
      <c r="H320" s="2" t="s">
        <v>2308</v>
      </c>
      <c r="I320" s="2" t="s">
        <v>2322</v>
      </c>
      <c r="J320" s="29"/>
      <c r="L320" s="1"/>
      <c r="M320" s="30"/>
      <c r="N320" s="31"/>
      <c r="O320" s="31"/>
      <c r="P320" s="49"/>
      <c r="Q320" s="49"/>
      <c r="R320" s="18"/>
      <c r="S320" s="18"/>
      <c r="T320" s="18"/>
      <c r="U320" s="2" t="str" cm="1">
        <f t="array" ref="U320">_xlfn.TEXTJOIN(", ", TRUE, IF(Y320:CG320="X", $Y$3:$CG$3, ""))</f>
        <v/>
      </c>
      <c r="V320" s="18" t="str" cm="1">
        <f t="array" ref="V320">_xlfn.TEXTJOIN(", ", TRUE, IF(Y320:CG320="X", $Y$2:$CG$2, ""))</f>
        <v/>
      </c>
      <c r="W320" s="2" t="str" cm="1">
        <f t="array" ref="W320">_xlfn.TEXTJOIN(", ", TRUE, IF(CH320:CS320="X", $CH$3:$CS$3, ""))</f>
        <v/>
      </c>
      <c r="X320" s="2" t="str" cm="1">
        <f t="array" ref="X320">_xlfn.TEXTJOIN(", ", TRUE, IF(CT320:CX320="X", $CT$3:$CX$3, ""))</f>
        <v/>
      </c>
      <c r="BD320" s="49"/>
      <c r="BF320" s="49"/>
      <c r="CB320" s="49"/>
      <c r="CF320" s="49"/>
      <c r="CI320" s="49"/>
      <c r="CJ320" s="49"/>
      <c r="CO320" s="49"/>
      <c r="CP320" s="49"/>
      <c r="CQ320" s="38"/>
      <c r="CT320" s="49"/>
      <c r="CV320" s="49"/>
    </row>
    <row r="321" spans="1:102" ht="18.75" customHeight="1" x14ac:dyDescent="0.25">
      <c r="A321" s="8">
        <v>279</v>
      </c>
      <c r="B321" s="2" t="s">
        <v>2323</v>
      </c>
      <c r="C321" s="2" t="s">
        <v>2324</v>
      </c>
      <c r="D321" s="29" t="s">
        <v>2325</v>
      </c>
      <c r="E321" s="29" t="s">
        <v>2326</v>
      </c>
      <c r="F321" s="18">
        <v>26984</v>
      </c>
      <c r="G321" s="8">
        <f ca="1">DATEDIF(F321, TODAY(), "Y")</f>
        <v>52</v>
      </c>
      <c r="H321" s="2" t="s">
        <v>2308</v>
      </c>
      <c r="I321" s="2" t="s">
        <v>2327</v>
      </c>
      <c r="J321" s="29"/>
      <c r="L321" s="1">
        <v>669041067</v>
      </c>
      <c r="M321" s="30"/>
      <c r="N321" s="31"/>
      <c r="O321" s="31"/>
      <c r="P321" s="2" t="s">
        <v>2328</v>
      </c>
      <c r="Q321" s="29"/>
      <c r="R321" s="67"/>
      <c r="S321" s="67"/>
      <c r="T321" s="67"/>
      <c r="U321" s="2" t="str" cm="1">
        <f t="array" ref="U321">_xlfn.TEXTJOIN(", ", TRUE, IF(Y321:CG321="X", $Y$3:$CG$3, ""))</f>
        <v/>
      </c>
      <c r="V321" s="18" t="str" cm="1">
        <f t="array" ref="V321">_xlfn.TEXTJOIN(", ", TRUE, IF(Y321:CG321="X", $Y$2:$CG$2, ""))</f>
        <v/>
      </c>
      <c r="W321" s="2" t="str" cm="1">
        <f t="array" ref="W321">_xlfn.TEXTJOIN(", ", TRUE, IF(CH321:CS321="X", $CH$3:$CS$3, ""))</f>
        <v/>
      </c>
      <c r="X321" s="2" t="str" cm="1">
        <f t="array" ref="X321">_xlfn.TEXTJOIN(", ", TRUE, IF(CT321:CX321="X", $CT$3:$CX$3, ""))</f>
        <v/>
      </c>
      <c r="BD321" s="82"/>
      <c r="BF321" s="82"/>
      <c r="CB321" s="82"/>
      <c r="CF321" s="82"/>
      <c r="CI321" s="82"/>
      <c r="CJ321" s="82"/>
      <c r="CO321" s="82"/>
      <c r="CP321" s="82"/>
      <c r="CQ321" s="82"/>
      <c r="CT321" s="82"/>
      <c r="CV321" s="82"/>
    </row>
    <row r="322" spans="1:102" ht="18.75" customHeight="1" x14ac:dyDescent="0.25">
      <c r="A322" s="8">
        <v>280</v>
      </c>
      <c r="B322" s="2" t="s">
        <v>2329</v>
      </c>
      <c r="C322" s="2" t="s">
        <v>2330</v>
      </c>
      <c r="D322" s="29" t="s">
        <v>2331</v>
      </c>
      <c r="E322" s="29" t="s">
        <v>2332</v>
      </c>
      <c r="F322" s="18">
        <v>19964</v>
      </c>
      <c r="G322" s="8">
        <f ca="1">DATEDIF(F322, TODAY(), "Y")</f>
        <v>71</v>
      </c>
      <c r="H322" s="2" t="s">
        <v>2308</v>
      </c>
      <c r="I322" s="2" t="s">
        <v>2333</v>
      </c>
      <c r="J322" s="29"/>
      <c r="L322" s="1">
        <v>659671624</v>
      </c>
      <c r="M322" s="30"/>
      <c r="N322" s="31"/>
      <c r="O322" s="31"/>
      <c r="P322" s="2" t="s">
        <v>2334</v>
      </c>
      <c r="Q322" s="2"/>
      <c r="R322" s="18"/>
      <c r="S322" s="18"/>
      <c r="T322" s="18"/>
      <c r="U322" s="2" t="str" cm="1">
        <f t="array" ref="U322">_xlfn.TEXTJOIN(", ", TRUE, IF(Y322:CG322="X", $Y$3:$CG$3, ""))</f>
        <v/>
      </c>
      <c r="V322" s="18" t="str" cm="1">
        <f t="array" ref="V322">_xlfn.TEXTJOIN(", ", TRUE, IF(Y322:CG322="X", $Y$2:$CG$2, ""))</f>
        <v/>
      </c>
      <c r="W322" s="2" t="str" cm="1">
        <f t="array" ref="W322">_xlfn.TEXTJOIN(", ", TRUE, IF(CH322:CS322="X", $CH$3:$CS$3, ""))</f>
        <v/>
      </c>
      <c r="X322" s="2" t="str" cm="1">
        <f t="array" ref="X322">_xlfn.TEXTJOIN(", ", TRUE, IF(CT322:CX322="X", $CT$3:$CX$3, ""))</f>
        <v/>
      </c>
    </row>
    <row r="323" spans="1:102" ht="18.75" customHeight="1" x14ac:dyDescent="0.25">
      <c r="A323" s="8">
        <v>282</v>
      </c>
      <c r="B323" s="2" t="s">
        <v>2341</v>
      </c>
      <c r="C323" s="2" t="s">
        <v>2342</v>
      </c>
      <c r="D323" s="29" t="s">
        <v>2343</v>
      </c>
      <c r="E323" s="29" t="s">
        <v>2344</v>
      </c>
      <c r="F323" s="18">
        <v>24981</v>
      </c>
      <c r="G323" s="8">
        <f ca="1">DATEDIF(F323, TODAY(), "Y")</f>
        <v>58</v>
      </c>
      <c r="H323" s="2" t="s">
        <v>2308</v>
      </c>
      <c r="I323" s="2" t="s">
        <v>2345</v>
      </c>
      <c r="J323" s="29"/>
      <c r="L323" s="1"/>
      <c r="M323" s="30"/>
      <c r="N323" s="31"/>
      <c r="O323" s="35"/>
      <c r="P323" s="82"/>
      <c r="Q323" s="82"/>
      <c r="R323" s="67"/>
      <c r="S323" s="67"/>
      <c r="T323" s="67"/>
      <c r="U323" s="2" t="str" cm="1">
        <f t="array" ref="U323">_xlfn.TEXTJOIN(", ", TRUE, IF(Y323:CG323="X", $Y$3:$CG$3, ""))</f>
        <v/>
      </c>
      <c r="V323" s="18" t="str" cm="1">
        <f t="array" ref="V323">_xlfn.TEXTJOIN(", ", TRUE, IF(Y323:CG323="X", $Y$2:$CG$2, ""))</f>
        <v/>
      </c>
      <c r="W323" s="2" t="str" cm="1">
        <f t="array" ref="W323">_xlfn.TEXTJOIN(", ", TRUE, IF(CH323:CS323="X", $CH$3:$CS$3, ""))</f>
        <v/>
      </c>
      <c r="X323" s="2" t="str" cm="1">
        <f t="array" ref="X323">_xlfn.TEXTJOIN(", ", TRUE, IF(CT323:CX323="X", $CT$3:$CX$3, ""))</f>
        <v/>
      </c>
    </row>
    <row r="324" spans="1:102" ht="18.75" customHeight="1" x14ac:dyDescent="0.25">
      <c r="A324" s="8">
        <v>283</v>
      </c>
      <c r="B324" s="2" t="s">
        <v>2346</v>
      </c>
      <c r="C324" s="2" t="s">
        <v>2347</v>
      </c>
      <c r="D324" s="29" t="s">
        <v>2348</v>
      </c>
      <c r="E324" s="29" t="s">
        <v>2349</v>
      </c>
      <c r="F324" s="18">
        <v>22785</v>
      </c>
      <c r="G324" s="8">
        <f ca="1">DATEDIF(F324, TODAY(), "Y")</f>
        <v>64</v>
      </c>
      <c r="H324" s="2" t="s">
        <v>2308</v>
      </c>
      <c r="I324" s="2" t="s">
        <v>2350</v>
      </c>
      <c r="J324" s="29"/>
      <c r="L324" s="1"/>
      <c r="M324" s="30"/>
      <c r="N324" s="31"/>
      <c r="O324" s="31"/>
      <c r="P324" s="49"/>
      <c r="Q324" s="38"/>
      <c r="R324" s="67"/>
      <c r="S324" s="67"/>
      <c r="T324" s="67"/>
      <c r="U324" s="2" t="str" cm="1">
        <f t="array" ref="U324">_xlfn.TEXTJOIN(", ", TRUE, IF(Y324:CG324="X", $Y$3:$CG$3, ""))</f>
        <v/>
      </c>
      <c r="V324" s="18" t="str" cm="1">
        <f t="array" ref="V324">_xlfn.TEXTJOIN(", ", TRUE, IF(Y324:CG324="X", $Y$2:$CG$2, ""))</f>
        <v/>
      </c>
      <c r="W324" s="2" t="str" cm="1">
        <f t="array" ref="W324">_xlfn.TEXTJOIN(", ", TRUE, IF(CH324:CS324="X", $CH$3:$CS$3, ""))</f>
        <v/>
      </c>
      <c r="X324" s="2" t="str" cm="1">
        <f t="array" ref="X324">_xlfn.TEXTJOIN(", ", TRUE, IF(CT324:CX324="X", $CT$3:$CX$3, ""))</f>
        <v/>
      </c>
      <c r="AC324" s="49"/>
      <c r="CW324" s="49"/>
      <c r="CX324" s="49"/>
    </row>
    <row r="325" spans="1:102" ht="18.75" customHeight="1" x14ac:dyDescent="0.25">
      <c r="A325" s="8">
        <v>284</v>
      </c>
      <c r="B325" s="2" t="s">
        <v>2351</v>
      </c>
      <c r="C325" s="2" t="s">
        <v>2352</v>
      </c>
      <c r="D325" s="29" t="s">
        <v>2353</v>
      </c>
      <c r="E325" s="29" t="s">
        <v>2354</v>
      </c>
      <c r="F325" s="18">
        <v>27058</v>
      </c>
      <c r="G325" s="8">
        <f ca="1">DATEDIF(F325, TODAY(), "Y")</f>
        <v>52</v>
      </c>
      <c r="H325" s="2" t="s">
        <v>2308</v>
      </c>
      <c r="I325" s="2" t="s">
        <v>2355</v>
      </c>
      <c r="J325" s="29"/>
      <c r="L325" s="1">
        <v>636374684</v>
      </c>
      <c r="M325" s="30"/>
      <c r="N325" s="31"/>
      <c r="O325" s="35"/>
      <c r="P325" s="65" t="s">
        <v>2356</v>
      </c>
      <c r="Q325" s="65"/>
      <c r="R325" s="18"/>
      <c r="S325" s="18"/>
      <c r="T325" s="18"/>
      <c r="U325" s="2" t="str" cm="1">
        <f t="array" ref="U325">_xlfn.TEXTJOIN(", ", TRUE, IF(Y325:CG325="X", $Y$3:$CG$3, ""))</f>
        <v/>
      </c>
      <c r="V325" s="18" t="str" cm="1">
        <f t="array" ref="V325">_xlfn.TEXTJOIN(", ", TRUE, IF(Y325:CG325="X", $Y$2:$CG$2, ""))</f>
        <v/>
      </c>
      <c r="W325" s="2" t="str" cm="1">
        <f t="array" ref="W325">_xlfn.TEXTJOIN(", ", TRUE, IF(CH325:CS325="X", $CH$3:$CS$3, ""))</f>
        <v/>
      </c>
      <c r="X325" s="2" t="str" cm="1">
        <f t="array" ref="X325">_xlfn.TEXTJOIN(", ", TRUE, IF(CT325:CX325="X", $CT$3:$CX$3, ""))</f>
        <v/>
      </c>
      <c r="AC325" s="82"/>
      <c r="CW325" s="82"/>
      <c r="CX325" s="82"/>
    </row>
    <row r="326" spans="1:102" ht="18.75" customHeight="1" x14ac:dyDescent="0.25">
      <c r="A326" s="8">
        <v>285</v>
      </c>
      <c r="B326" s="2" t="s">
        <v>2351</v>
      </c>
      <c r="C326" s="2" t="s">
        <v>2352</v>
      </c>
      <c r="D326" s="29" t="s">
        <v>2353</v>
      </c>
      <c r="E326" s="29" t="s">
        <v>2354</v>
      </c>
      <c r="F326" s="18">
        <v>21637</v>
      </c>
      <c r="G326" s="8">
        <f ca="1">DATEDIF(F326, TODAY(), "Y")</f>
        <v>67</v>
      </c>
      <c r="H326" s="2" t="s">
        <v>2308</v>
      </c>
      <c r="I326" s="2" t="s">
        <v>2357</v>
      </c>
      <c r="J326" s="29"/>
      <c r="L326" s="1"/>
      <c r="M326" s="30"/>
      <c r="N326" s="31"/>
      <c r="O326" s="31"/>
      <c r="P326" s="49"/>
      <c r="Q326" s="49"/>
      <c r="R326" s="18"/>
      <c r="S326" s="18"/>
      <c r="T326" s="18"/>
      <c r="U326" s="2" t="str" cm="1">
        <f t="array" ref="U326">_xlfn.TEXTJOIN(", ", TRUE, IF(Y326:CG326="X", $Y$3:$CG$3, ""))</f>
        <v/>
      </c>
      <c r="V326" s="18" t="str" cm="1">
        <f t="array" ref="V326">_xlfn.TEXTJOIN(", ", TRUE, IF(Y326:CG326="X", $Y$2:$CG$2, ""))</f>
        <v/>
      </c>
      <c r="W326" s="2" t="str" cm="1">
        <f t="array" ref="W326">_xlfn.TEXTJOIN(", ", TRUE, IF(CH326:CS326="X", $CH$3:$CS$3, ""))</f>
        <v/>
      </c>
      <c r="X326" s="2" t="str" cm="1">
        <f t="array" ref="X326">_xlfn.TEXTJOIN(", ", TRUE, IF(CT326:CX326="X", $CT$3:$CX$3, ""))</f>
        <v/>
      </c>
    </row>
    <row r="327" spans="1:102" ht="18.75" customHeight="1" x14ac:dyDescent="0.25">
      <c r="A327" s="8">
        <v>286</v>
      </c>
      <c r="B327" s="2" t="s">
        <v>1643</v>
      </c>
      <c r="C327" s="2" t="s">
        <v>1644</v>
      </c>
      <c r="D327" s="29" t="s">
        <v>1645</v>
      </c>
      <c r="E327" s="29" t="s">
        <v>1646</v>
      </c>
      <c r="F327" s="18">
        <v>22951</v>
      </c>
      <c r="G327" s="8">
        <f ca="1">DATEDIF(F327, TODAY(), "Y")</f>
        <v>63</v>
      </c>
      <c r="H327" s="2" t="s">
        <v>2308</v>
      </c>
      <c r="I327" s="2" t="s">
        <v>2358</v>
      </c>
      <c r="J327" s="29"/>
      <c r="L327" s="1">
        <v>689752851</v>
      </c>
      <c r="M327" s="30"/>
      <c r="N327" s="31"/>
      <c r="O327" s="77"/>
      <c r="P327" s="2" t="s">
        <v>2359</v>
      </c>
      <c r="Q327" s="2"/>
      <c r="R327" s="18"/>
      <c r="S327" s="18"/>
      <c r="T327" s="18"/>
      <c r="U327" s="2" t="str" cm="1">
        <f t="array" ref="U327">_xlfn.TEXTJOIN(", ", TRUE, IF(Y327:CG327="X", $Y$3:$CG$3, ""))</f>
        <v/>
      </c>
      <c r="V327" s="18" t="str" cm="1">
        <f t="array" ref="V327">_xlfn.TEXTJOIN(", ", TRUE, IF(Y327:CG327="X", $Y$2:$CG$2, ""))</f>
        <v/>
      </c>
      <c r="W327" s="2" t="str" cm="1">
        <f t="array" ref="W327">_xlfn.TEXTJOIN(", ", TRUE, IF(CH327:CS327="X", $CH$3:$CS$3, ""))</f>
        <v/>
      </c>
      <c r="X327" s="2" t="str" cm="1">
        <f t="array" ref="X327">_xlfn.TEXTJOIN(", ", TRUE, IF(CT327:CX327="X", $CT$3:$CX$3, ""))</f>
        <v/>
      </c>
      <c r="BD327" s="49"/>
      <c r="BO327" s="49"/>
      <c r="CI327" s="49"/>
      <c r="CJ327" s="49"/>
      <c r="CR327" s="49"/>
      <c r="CT327" s="49"/>
    </row>
    <row r="328" spans="1:102" ht="18.75" customHeight="1" x14ac:dyDescent="0.25">
      <c r="A328" s="8">
        <v>288</v>
      </c>
      <c r="B328" s="2" t="s">
        <v>2367</v>
      </c>
      <c r="C328" s="2" t="s">
        <v>2368</v>
      </c>
      <c r="D328" s="29" t="s">
        <v>2369</v>
      </c>
      <c r="E328" s="29" t="s">
        <v>2370</v>
      </c>
      <c r="F328" s="18">
        <v>26300</v>
      </c>
      <c r="G328" s="8">
        <f ca="1">DATEDIF(F328, TODAY(), "Y")</f>
        <v>54</v>
      </c>
      <c r="H328" s="2" t="s">
        <v>2308</v>
      </c>
      <c r="I328" s="2" t="s">
        <v>2371</v>
      </c>
      <c r="J328" s="29"/>
      <c r="L328" s="1">
        <v>677649104</v>
      </c>
      <c r="M328" s="30"/>
      <c r="N328" s="31"/>
      <c r="O328" s="31"/>
      <c r="P328" s="2" t="s">
        <v>2372</v>
      </c>
      <c r="Q328" s="2"/>
      <c r="R328" s="18"/>
      <c r="S328" s="18"/>
      <c r="T328" s="18"/>
      <c r="U328" s="2" t="str" cm="1">
        <f t="array" ref="U328">_xlfn.TEXTJOIN(", ", TRUE, IF(Y328:CG328="X", $Y$3:$CG$3, ""))</f>
        <v/>
      </c>
      <c r="V328" s="18" t="str" cm="1">
        <f t="array" ref="V328">_xlfn.TEXTJOIN(", ", TRUE, IF(Y328:CG328="X", $Y$2:$CG$2, ""))</f>
        <v/>
      </c>
      <c r="W328" s="2" t="str" cm="1">
        <f t="array" ref="W328">_xlfn.TEXTJOIN(", ", TRUE, IF(CH328:CS328="X", $CH$3:$CS$3, ""))</f>
        <v/>
      </c>
      <c r="X328" s="2" t="str" cm="1">
        <f t="array" ref="X328">_xlfn.TEXTJOIN(", ", TRUE, IF(CT328:CX328="X", $CT$3:$CX$3, ""))</f>
        <v/>
      </c>
      <c r="BD328" s="82"/>
      <c r="BO328" s="82"/>
      <c r="CI328" s="82"/>
      <c r="CJ328" s="82"/>
      <c r="CR328" s="82"/>
      <c r="CT328" s="82"/>
    </row>
    <row r="329" spans="1:102" ht="18.75" customHeight="1" x14ac:dyDescent="0.25">
      <c r="A329" s="8">
        <v>290</v>
      </c>
      <c r="B329" s="2" t="s">
        <v>2375</v>
      </c>
      <c r="C329" s="2" t="s">
        <v>2376</v>
      </c>
      <c r="D329" s="29" t="s">
        <v>2377</v>
      </c>
      <c r="E329" s="29" t="s">
        <v>2378</v>
      </c>
      <c r="F329" s="18">
        <v>13854</v>
      </c>
      <c r="G329" s="8">
        <f ca="1">DATEDIF(F329, TODAY(), "Y")</f>
        <v>88</v>
      </c>
      <c r="H329" s="2" t="s">
        <v>2308</v>
      </c>
      <c r="I329" s="2" t="s">
        <v>2379</v>
      </c>
      <c r="J329" s="29"/>
      <c r="L329" s="75">
        <v>943884848</v>
      </c>
      <c r="M329" s="30"/>
      <c r="N329" s="31"/>
      <c r="O329" s="31"/>
      <c r="P329" s="49" t="s">
        <v>3113</v>
      </c>
      <c r="Q329" s="49"/>
      <c r="R329" s="18"/>
      <c r="S329" s="18"/>
      <c r="T329" s="18"/>
      <c r="U329" s="2" t="str" cm="1">
        <f t="array" ref="U329">_xlfn.TEXTJOIN(", ", TRUE, IF(Y329:CG329="X", $Y$3:$CG$3, ""))</f>
        <v>Arrautzak, Barazkiak aire librean, Babarrunak, Fruta</v>
      </c>
      <c r="V329" s="18" t="str" cm="1">
        <f t="array" ref="V329">_xlfn.TEXTJOIN(", ", TRUE, IF(Y329:CG329="X", $Y$2:$CG$2, ""))</f>
        <v>OILOAK, BARAZKIAK, LEKALEAK, FRUTA</v>
      </c>
      <c r="W329" s="2" t="str" cm="1">
        <f t="array" ref="W329">_xlfn.TEXTJOIN(", ", TRUE, IF(CH329:CS329="X", $CH$3:$CS$3, ""))</f>
        <v/>
      </c>
      <c r="X329" s="2" t="str" cm="1">
        <f t="array" ref="X329">_xlfn.TEXTJOIN(", ", TRUE, IF(CT329:CX329="X", $CT$3:$CX$3, ""))</f>
        <v/>
      </c>
      <c r="AR329" s="3" t="s">
        <v>764</v>
      </c>
      <c r="AS329" s="3" t="s">
        <v>764</v>
      </c>
      <c r="AZ329" s="3" t="s">
        <v>764</v>
      </c>
      <c r="BD329" s="3" t="s">
        <v>764</v>
      </c>
    </row>
    <row r="330" spans="1:102" ht="18.75" customHeight="1" x14ac:dyDescent="0.25">
      <c r="A330" s="8">
        <v>293</v>
      </c>
      <c r="B330" s="2" t="s">
        <v>2392</v>
      </c>
      <c r="C330" s="2" t="s">
        <v>2393</v>
      </c>
      <c r="D330" s="29" t="s">
        <v>2394</v>
      </c>
      <c r="E330" s="29" t="s">
        <v>2395</v>
      </c>
      <c r="F330" s="18">
        <v>32888</v>
      </c>
      <c r="G330" s="8">
        <f ca="1">DATEDIF(F330, TODAY(), "Y")</f>
        <v>36</v>
      </c>
      <c r="H330" s="2" t="s">
        <v>2308</v>
      </c>
      <c r="I330" s="2" t="s">
        <v>2396</v>
      </c>
      <c r="J330" s="29"/>
      <c r="L330" s="1"/>
      <c r="M330" s="30"/>
      <c r="N330" s="31"/>
      <c r="O330" s="35"/>
      <c r="P330" s="82"/>
      <c r="Q330" s="82"/>
      <c r="R330" s="18"/>
      <c r="S330" s="18"/>
      <c r="T330" s="18"/>
      <c r="U330" s="2" t="str" cm="1">
        <f t="array" ref="U330">_xlfn.TEXTJOIN(", ", TRUE, IF(Y330:CG330="X", $Y$3:$CG$3, ""))</f>
        <v/>
      </c>
      <c r="V330" s="18" t="str" cm="1">
        <f t="array" ref="V330">_xlfn.TEXTJOIN(", ", TRUE, IF(Y330:CG330="X", $Y$2:$CG$2, ""))</f>
        <v/>
      </c>
      <c r="W330" s="2" t="str" cm="1">
        <f t="array" ref="W330">_xlfn.TEXTJOIN(", ", TRUE, IF(CH330:CS330="X", $CH$3:$CS$3, ""))</f>
        <v/>
      </c>
      <c r="X330" s="2" t="str" cm="1">
        <f t="array" ref="X330">_xlfn.TEXTJOIN(", ", TRUE, IF(CT330:CX330="X", $CT$3:$CX$3, ""))</f>
        <v/>
      </c>
    </row>
    <row r="331" spans="1:102" ht="18.75" customHeight="1" x14ac:dyDescent="0.25">
      <c r="A331" s="8">
        <v>294</v>
      </c>
      <c r="B331" s="2" t="s">
        <v>2397</v>
      </c>
      <c r="C331" s="2" t="s">
        <v>2398</v>
      </c>
      <c r="D331" s="29" t="s">
        <v>2399</v>
      </c>
      <c r="E331" s="29" t="s">
        <v>2400</v>
      </c>
      <c r="F331" s="18">
        <v>25563</v>
      </c>
      <c r="G331" s="8">
        <f ca="1">DATEDIF(F331, TODAY(), "Y")</f>
        <v>56</v>
      </c>
      <c r="H331" s="2" t="s">
        <v>2308</v>
      </c>
      <c r="I331" s="2" t="s">
        <v>2401</v>
      </c>
      <c r="J331" s="29"/>
      <c r="L331" s="1">
        <v>679756281</v>
      </c>
      <c r="M331" s="30"/>
      <c r="N331" s="31"/>
      <c r="O331" s="35"/>
      <c r="P331" s="65" t="s">
        <v>2402</v>
      </c>
      <c r="Q331" s="65"/>
      <c r="R331" s="18"/>
      <c r="S331" s="18"/>
      <c r="T331" s="18"/>
      <c r="U331" s="2" t="str" cm="1">
        <f t="array" ref="U331">_xlfn.TEXTJOIN(", ", TRUE, IF(Y331:CG331="X", $Y$3:$CG$3, ""))</f>
        <v/>
      </c>
      <c r="V331" s="18" t="str" cm="1">
        <f t="array" ref="V331">_xlfn.TEXTJOIN(", ", TRUE, IF(Y331:CG331="X", $Y$2:$CG$2, ""))</f>
        <v/>
      </c>
      <c r="W331" s="2" t="str" cm="1">
        <f t="array" ref="W331">_xlfn.TEXTJOIN(", ", TRUE, IF(CH331:CS331="X", $CH$3:$CS$3, ""))</f>
        <v/>
      </c>
      <c r="X331" s="2" t="str" cm="1">
        <f t="array" ref="X331">_xlfn.TEXTJOIN(", ", TRUE, IF(CT331:CX331="X", $CT$3:$CX$3, ""))</f>
        <v/>
      </c>
    </row>
    <row r="332" spans="1:102" ht="18.75" customHeight="1" x14ac:dyDescent="0.25">
      <c r="A332" s="8">
        <v>295</v>
      </c>
      <c r="B332" s="2" t="s">
        <v>2403</v>
      </c>
      <c r="C332" s="2" t="s">
        <v>2404</v>
      </c>
      <c r="D332" s="29" t="s">
        <v>2405</v>
      </c>
      <c r="E332" s="29" t="s">
        <v>2406</v>
      </c>
      <c r="F332" s="18">
        <v>24950</v>
      </c>
      <c r="G332" s="8">
        <f ca="1">DATEDIF(F332, TODAY(), "Y")</f>
        <v>58</v>
      </c>
      <c r="H332" s="2" t="s">
        <v>2308</v>
      </c>
      <c r="I332" s="2" t="s">
        <v>2401</v>
      </c>
      <c r="J332" s="29"/>
      <c r="L332" s="1">
        <v>638554482</v>
      </c>
      <c r="M332" s="30"/>
      <c r="N332" s="31"/>
      <c r="O332" s="31"/>
      <c r="P332" s="2" t="s">
        <v>2407</v>
      </c>
      <c r="Q332" s="2"/>
      <c r="R332" s="18"/>
      <c r="S332" s="18"/>
      <c r="T332" s="18"/>
      <c r="U332" s="2" t="str" cm="1">
        <f t="array" ref="U332">_xlfn.TEXTJOIN(", ", TRUE, IF(Y332:CG332="X", $Y$3:$CG$3, ""))</f>
        <v/>
      </c>
      <c r="V332" s="18" t="str" cm="1">
        <f t="array" ref="V332">_xlfn.TEXTJOIN(", ", TRUE, IF(Y332:CG332="X", $Y$2:$CG$2, ""))</f>
        <v/>
      </c>
      <c r="W332" s="2" t="str" cm="1">
        <f t="array" ref="W332">_xlfn.TEXTJOIN(", ", TRUE, IF(CH332:CS332="X", $CH$3:$CS$3, ""))</f>
        <v/>
      </c>
      <c r="X332" s="2" t="str" cm="1">
        <f t="array" ref="X332">_xlfn.TEXTJOIN(", ", TRUE, IF(CT332:CX332="X", $CT$3:$CX$3, ""))</f>
        <v/>
      </c>
    </row>
    <row r="333" spans="1:102" ht="18.75" customHeight="1" x14ac:dyDescent="0.25">
      <c r="A333" s="8">
        <v>296</v>
      </c>
      <c r="B333" s="2" t="s">
        <v>2408</v>
      </c>
      <c r="C333" s="2" t="s">
        <v>2409</v>
      </c>
      <c r="D333" s="29" t="s">
        <v>2410</v>
      </c>
      <c r="E333" s="29" t="s">
        <v>2411</v>
      </c>
      <c r="F333" s="18">
        <v>24521</v>
      </c>
      <c r="G333" s="8">
        <f ca="1">DATEDIF(F333, TODAY(), "Y")</f>
        <v>59</v>
      </c>
      <c r="H333" s="2" t="s">
        <v>2308</v>
      </c>
      <c r="I333" s="2" t="s">
        <v>2412</v>
      </c>
      <c r="J333" s="29"/>
      <c r="L333" s="1">
        <v>639963677</v>
      </c>
      <c r="M333" s="30"/>
      <c r="N333" s="31"/>
      <c r="O333" s="31"/>
      <c r="P333" s="2" t="s">
        <v>2413</v>
      </c>
      <c r="Q333" s="2"/>
      <c r="R333" s="18"/>
      <c r="S333" s="18"/>
      <c r="T333" s="18"/>
      <c r="U333" s="2" t="str" cm="1">
        <f t="array" ref="U333">_xlfn.TEXTJOIN(", ", TRUE, IF(Y333:CG333="X", $Y$3:$CG$3, ""))</f>
        <v/>
      </c>
      <c r="V333" s="18" t="str" cm="1">
        <f t="array" ref="V333">_xlfn.TEXTJOIN(", ", TRUE, IF(Y333:CG333="X", $Y$2:$CG$2, ""))</f>
        <v/>
      </c>
      <c r="W333" s="2" t="str" cm="1">
        <f t="array" ref="W333">_xlfn.TEXTJOIN(", ", TRUE, IF(CH333:CS333="X", $CH$3:$CS$3, ""))</f>
        <v/>
      </c>
      <c r="X333" s="2" t="str" cm="1">
        <f t="array" ref="X333">_xlfn.TEXTJOIN(", ", TRUE, IF(CT333:CX333="X", $CT$3:$CX$3, ""))</f>
        <v/>
      </c>
    </row>
    <row r="334" spans="1:102" ht="18.75" customHeight="1" x14ac:dyDescent="0.25">
      <c r="A334" s="8">
        <v>297</v>
      </c>
      <c r="B334" s="2" t="s">
        <v>2414</v>
      </c>
      <c r="C334" s="2" t="s">
        <v>2415</v>
      </c>
      <c r="D334" s="29" t="s">
        <v>2416</v>
      </c>
      <c r="E334" s="29" t="s">
        <v>2417</v>
      </c>
      <c r="F334" s="18">
        <v>30965</v>
      </c>
      <c r="G334" s="8">
        <f ca="1">DATEDIF(F334, TODAY(), "Y")</f>
        <v>41</v>
      </c>
      <c r="H334" s="2" t="s">
        <v>2308</v>
      </c>
      <c r="I334" s="2" t="s">
        <v>2418</v>
      </c>
      <c r="J334" s="29"/>
      <c r="L334" s="1">
        <v>636773463</v>
      </c>
      <c r="M334" s="30"/>
      <c r="N334" s="31"/>
      <c r="O334" s="31"/>
      <c r="P334" s="2" t="s">
        <v>2419</v>
      </c>
      <c r="Q334" s="2"/>
      <c r="R334" s="18"/>
      <c r="S334" s="18"/>
      <c r="T334" s="18"/>
      <c r="U334" s="2" t="str" cm="1">
        <f t="array" ref="U334">_xlfn.TEXTJOIN(", ", TRUE, IF(Y334:CG334="X", $Y$3:$CG$3, ""))</f>
        <v/>
      </c>
      <c r="V334" s="18" t="str" cm="1">
        <f t="array" ref="V334">_xlfn.TEXTJOIN(", ", TRUE, IF(Y334:CG334="X", $Y$2:$CG$2, ""))</f>
        <v/>
      </c>
      <c r="W334" s="2" t="str" cm="1">
        <f t="array" ref="W334">_xlfn.TEXTJOIN(", ", TRUE, IF(CH334:CS334="X", $CH$3:$CS$3, ""))</f>
        <v/>
      </c>
      <c r="X334" s="2" t="str" cm="1">
        <f t="array" ref="X334">_xlfn.TEXTJOIN(", ", TRUE, IF(CT334:CX334="X", $CT$3:$CX$3, ""))</f>
        <v/>
      </c>
    </row>
    <row r="335" spans="1:102" ht="18.75" customHeight="1" x14ac:dyDescent="0.25">
      <c r="A335" s="8">
        <v>298</v>
      </c>
      <c r="B335" s="2" t="s">
        <v>2420</v>
      </c>
      <c r="C335" s="2" t="s">
        <v>2421</v>
      </c>
      <c r="D335" s="29" t="s">
        <v>2422</v>
      </c>
      <c r="E335" s="29" t="s">
        <v>2423</v>
      </c>
      <c r="F335" s="18">
        <v>10232</v>
      </c>
      <c r="G335" s="8">
        <f ca="1">DATEDIF(F335, TODAY(), "Y")</f>
        <v>98</v>
      </c>
      <c r="H335" s="2" t="s">
        <v>2308</v>
      </c>
      <c r="I335" s="2" t="s">
        <v>2424</v>
      </c>
      <c r="J335" s="29"/>
      <c r="L335" s="1">
        <v>665742138</v>
      </c>
      <c r="M335" s="30"/>
      <c r="N335" s="31"/>
      <c r="O335" s="31"/>
      <c r="P335" s="2" t="s">
        <v>2425</v>
      </c>
      <c r="Q335" s="2"/>
      <c r="R335" s="18"/>
      <c r="S335" s="18"/>
      <c r="T335" s="18"/>
      <c r="U335" s="2" t="str" cm="1">
        <f t="array" ref="U335">_xlfn.TEXTJOIN(", ", TRUE, IF(Y335:CG335="X", $Y$3:$CG$3, ""))</f>
        <v/>
      </c>
      <c r="V335" s="18" t="str" cm="1">
        <f t="array" ref="V335">_xlfn.TEXTJOIN(", ", TRUE, IF(Y335:CG335="X", $Y$2:$CG$2, ""))</f>
        <v/>
      </c>
      <c r="W335" s="2" t="str" cm="1">
        <f t="array" ref="W335">_xlfn.TEXTJOIN(", ", TRUE, IF(CH335:CS335="X", $CH$3:$CS$3, ""))</f>
        <v/>
      </c>
      <c r="X335" s="2" t="str" cm="1">
        <f t="array" ref="X335">_xlfn.TEXTJOIN(", ", TRUE, IF(CT335:CX335="X", $CT$3:$CX$3, ""))</f>
        <v/>
      </c>
    </row>
    <row r="336" spans="1:102" ht="18.75" customHeight="1" x14ac:dyDescent="0.25">
      <c r="A336" s="8">
        <v>299</v>
      </c>
      <c r="B336" s="2" t="s">
        <v>2426</v>
      </c>
      <c r="C336" s="2" t="s">
        <v>2427</v>
      </c>
      <c r="D336" s="29" t="s">
        <v>2428</v>
      </c>
      <c r="E336" s="29" t="s">
        <v>2429</v>
      </c>
      <c r="F336" s="18">
        <v>34436</v>
      </c>
      <c r="G336" s="8">
        <f ca="1">DATEDIF(F336, TODAY(), "Y")</f>
        <v>32</v>
      </c>
      <c r="H336" s="2" t="s">
        <v>2308</v>
      </c>
      <c r="I336" s="2" t="s">
        <v>2430</v>
      </c>
      <c r="J336" s="29"/>
      <c r="L336" s="1">
        <v>649645892</v>
      </c>
      <c r="M336" s="30"/>
      <c r="N336" s="31"/>
      <c r="O336" s="31"/>
      <c r="P336" s="2" t="s">
        <v>2431</v>
      </c>
      <c r="Q336" s="2"/>
      <c r="R336" s="18"/>
      <c r="S336" s="18"/>
      <c r="T336" s="18"/>
      <c r="U336" s="2" t="str" cm="1">
        <f t="array" ref="U336">_xlfn.TEXTJOIN(", ", TRUE, IF(Y336:CG336="X", $Y$3:$CG$3, ""))</f>
        <v/>
      </c>
      <c r="V336" s="18" t="str" cm="1">
        <f t="array" ref="V336">_xlfn.TEXTJOIN(", ", TRUE, IF(Y336:CG336="X", $Y$2:$CG$2, ""))</f>
        <v/>
      </c>
      <c r="W336" s="2" t="str" cm="1">
        <f t="array" ref="W336">_xlfn.TEXTJOIN(", ", TRUE, IF(CH336:CS336="X", $CH$3:$CS$3, ""))</f>
        <v/>
      </c>
      <c r="X336" s="2" t="str" cm="1">
        <f t="array" ref="X336">_xlfn.TEXTJOIN(", ", TRUE, IF(CT336:CX336="X", $CT$3:$CX$3, ""))</f>
        <v/>
      </c>
    </row>
    <row r="337" spans="1:98" ht="18.75" customHeight="1" x14ac:dyDescent="0.25">
      <c r="A337" s="8">
        <v>300</v>
      </c>
      <c r="B337" s="2" t="s">
        <v>2432</v>
      </c>
      <c r="C337" s="2" t="s">
        <v>2433</v>
      </c>
      <c r="D337" s="29" t="s">
        <v>2434</v>
      </c>
      <c r="E337" s="29" t="s">
        <v>2435</v>
      </c>
      <c r="F337" s="18"/>
      <c r="G337" s="8">
        <f ca="1">DATEDIF(F337, TODAY(), "Y")</f>
        <v>126</v>
      </c>
      <c r="H337" s="2" t="s">
        <v>2308</v>
      </c>
      <c r="I337" s="2" t="s">
        <v>2436</v>
      </c>
      <c r="J337" s="29"/>
      <c r="L337" s="1">
        <v>678423454</v>
      </c>
      <c r="M337" s="30"/>
      <c r="N337" s="31"/>
      <c r="O337" s="31"/>
      <c r="P337" s="2" t="s">
        <v>2437</v>
      </c>
      <c r="Q337" s="2"/>
      <c r="R337" s="49"/>
      <c r="S337" s="49"/>
      <c r="T337" s="49"/>
      <c r="U337" s="2" t="str" cm="1">
        <f t="array" ref="U337">_xlfn.TEXTJOIN(", ", TRUE, IF(Y337:CG337="X", $Y$3:$CG$3, ""))</f>
        <v/>
      </c>
      <c r="V337" s="18" t="str" cm="1">
        <f t="array" ref="V337">_xlfn.TEXTJOIN(", ", TRUE, IF(Y337:CG337="X", $Y$2:$CG$2, ""))</f>
        <v/>
      </c>
      <c r="W337" s="2" t="str" cm="1">
        <f t="array" ref="W337">_xlfn.TEXTJOIN(", ", TRUE, IF(CH337:CS337="X", $CH$3:$CS$3, ""))</f>
        <v/>
      </c>
      <c r="X337" s="2" t="str" cm="1">
        <f t="array" ref="X337">_xlfn.TEXTJOIN(", ", TRUE, IF(CT337:CX337="X", $CT$3:$CX$3, ""))</f>
        <v/>
      </c>
    </row>
    <row r="338" spans="1:98" ht="18.75" customHeight="1" x14ac:dyDescent="0.25">
      <c r="A338" s="8">
        <v>301</v>
      </c>
      <c r="B338" s="2" t="s">
        <v>2438</v>
      </c>
      <c r="C338" s="2" t="s">
        <v>2439</v>
      </c>
      <c r="D338" s="29" t="s">
        <v>2440</v>
      </c>
      <c r="E338" s="29" t="s">
        <v>2441</v>
      </c>
      <c r="F338" s="18">
        <v>25421</v>
      </c>
      <c r="G338" s="8">
        <f ca="1">DATEDIF(F338, TODAY(), "Y")</f>
        <v>56</v>
      </c>
      <c r="H338" s="2" t="s">
        <v>2308</v>
      </c>
      <c r="I338" s="2" t="s">
        <v>2442</v>
      </c>
      <c r="J338" s="29"/>
      <c r="L338" s="1">
        <v>690613763</v>
      </c>
      <c r="M338" s="30"/>
      <c r="N338" s="31"/>
      <c r="O338" s="31"/>
      <c r="P338" s="2" t="s">
        <v>2443</v>
      </c>
      <c r="Q338" s="2"/>
      <c r="R338" s="18"/>
      <c r="S338" s="18"/>
      <c r="T338" s="18"/>
      <c r="U338" s="2" t="str" cm="1">
        <f t="array" ref="U338">_xlfn.TEXTJOIN(", ", TRUE, IF(Y338:CG338="X", $Y$3:$CG$3, ""))</f>
        <v/>
      </c>
      <c r="V338" s="18" t="str" cm="1">
        <f t="array" ref="V338">_xlfn.TEXTJOIN(", ", TRUE, IF(Y338:CG338="X", $Y$2:$CG$2, ""))</f>
        <v/>
      </c>
      <c r="W338" s="2" t="str" cm="1">
        <f t="array" ref="W338">_xlfn.TEXTJOIN(", ", TRUE, IF(CH338:CS338="X", $CH$3:$CS$3, ""))</f>
        <v/>
      </c>
      <c r="X338" s="2" t="str" cm="1">
        <f t="array" ref="X338">_xlfn.TEXTJOIN(", ", TRUE, IF(CT338:CX338="X", $CT$3:$CX$3, ""))</f>
        <v/>
      </c>
      <c r="AJ338" s="49"/>
      <c r="AR338" s="49"/>
      <c r="AS338" s="49"/>
      <c r="BA338" s="49"/>
      <c r="CI338" s="49"/>
      <c r="CL338" s="49"/>
      <c r="CR338" s="49"/>
    </row>
    <row r="339" spans="1:98" ht="18.75" customHeight="1" x14ac:dyDescent="0.25">
      <c r="A339" s="8">
        <v>304</v>
      </c>
      <c r="B339" s="2" t="s">
        <v>2457</v>
      </c>
      <c r="C339" s="2" t="s">
        <v>2458</v>
      </c>
      <c r="D339" s="29" t="s">
        <v>2459</v>
      </c>
      <c r="E339" s="29" t="s">
        <v>2460</v>
      </c>
      <c r="F339" s="18">
        <v>21398</v>
      </c>
      <c r="G339" s="8">
        <f ca="1">DATEDIF(F339, TODAY(), "Y")</f>
        <v>67</v>
      </c>
      <c r="H339" s="2" t="s">
        <v>2448</v>
      </c>
      <c r="I339" s="2" t="s">
        <v>2461</v>
      </c>
      <c r="J339" s="29"/>
      <c r="L339" s="1">
        <v>688608805</v>
      </c>
      <c r="M339" s="30"/>
      <c r="N339" s="31"/>
      <c r="O339" s="31"/>
      <c r="P339" s="2" t="s">
        <v>2462</v>
      </c>
      <c r="Q339" s="2"/>
      <c r="R339" s="18"/>
      <c r="S339" s="18"/>
      <c r="T339" s="18"/>
      <c r="U339" s="2" t="str" cm="1">
        <f t="array" ref="U339">_xlfn.TEXTJOIN(", ", TRUE, IF(Y339:CG339="X", $Y$3:$CG$3, ""))</f>
        <v/>
      </c>
      <c r="V339" s="18" t="str" cm="1">
        <f t="array" ref="V339">_xlfn.TEXTJOIN(", ", TRUE, IF(Y339:CG339="X", $Y$2:$CG$2, ""))</f>
        <v/>
      </c>
      <c r="W339" s="2" t="str" cm="1">
        <f t="array" ref="W339">_xlfn.TEXTJOIN(", ", TRUE, IF(CH339:CS339="X", $CH$3:$CS$3, ""))</f>
        <v/>
      </c>
      <c r="X339" s="2" t="str" cm="1">
        <f t="array" ref="X339">_xlfn.TEXTJOIN(", ", TRUE, IF(CT339:CX339="X", $CT$3:$CX$3, ""))</f>
        <v/>
      </c>
      <c r="AJ339" s="82"/>
      <c r="AR339" s="82"/>
      <c r="AS339" s="82"/>
      <c r="BA339" s="82"/>
      <c r="CI339" s="82"/>
      <c r="CL339" s="82"/>
      <c r="CR339" s="82"/>
    </row>
    <row r="340" spans="1:98" ht="18.75" customHeight="1" x14ac:dyDescent="0.25">
      <c r="A340" s="8">
        <v>305</v>
      </c>
      <c r="B340" s="2" t="s">
        <v>2463</v>
      </c>
      <c r="C340" s="2" t="s">
        <v>2464</v>
      </c>
      <c r="D340" s="29" t="s">
        <v>2465</v>
      </c>
      <c r="E340" s="29" t="s">
        <v>2466</v>
      </c>
      <c r="F340" s="18">
        <v>20270</v>
      </c>
      <c r="G340" s="8">
        <f ca="1">DATEDIF(F340, TODAY(), "Y")</f>
        <v>71</v>
      </c>
      <c r="H340" s="2" t="s">
        <v>2448</v>
      </c>
      <c r="I340" s="2" t="s">
        <v>2467</v>
      </c>
      <c r="J340" s="29"/>
      <c r="L340" s="1">
        <v>636922754</v>
      </c>
      <c r="M340" s="30"/>
      <c r="N340" s="31"/>
      <c r="O340" s="31"/>
      <c r="P340" s="2" t="s">
        <v>2468</v>
      </c>
      <c r="Q340" s="2"/>
      <c r="R340" s="18"/>
      <c r="S340" s="18"/>
      <c r="T340" s="18"/>
      <c r="U340" s="2" t="str" cm="1">
        <f t="array" ref="U340">_xlfn.TEXTJOIN(", ", TRUE, IF(Y340:CG340="X", $Y$3:$CG$3, ""))</f>
        <v/>
      </c>
      <c r="V340" s="18" t="str" cm="1">
        <f t="array" ref="V340">_xlfn.TEXTJOIN(", ", TRUE, IF(Y340:CG340="X", $Y$2:$CG$2, ""))</f>
        <v/>
      </c>
      <c r="W340" s="2" t="str" cm="1">
        <f t="array" ref="W340">_xlfn.TEXTJOIN(", ", TRUE, IF(CH340:CS340="X", $CH$3:$CS$3, ""))</f>
        <v/>
      </c>
      <c r="X340" s="2" t="str" cm="1">
        <f t="array" ref="X340">_xlfn.TEXTJOIN(", ", TRUE, IF(CT340:CX340="X", $CT$3:$CX$3, ""))</f>
        <v/>
      </c>
    </row>
    <row r="341" spans="1:98" ht="18.75" customHeight="1" x14ac:dyDescent="0.25">
      <c r="A341" s="8">
        <v>306</v>
      </c>
      <c r="B341" s="2" t="s">
        <v>2469</v>
      </c>
      <c r="C341" s="2" t="s">
        <v>2470</v>
      </c>
      <c r="D341" s="29" t="s">
        <v>2471</v>
      </c>
      <c r="E341" s="29" t="s">
        <v>2472</v>
      </c>
      <c r="F341" s="18">
        <v>32561</v>
      </c>
      <c r="G341" s="8">
        <f ca="1">DATEDIF(F341, TODAY(), "Y")</f>
        <v>37</v>
      </c>
      <c r="H341" s="2" t="s">
        <v>2448</v>
      </c>
      <c r="I341" s="2" t="s">
        <v>2473</v>
      </c>
      <c r="J341" s="29"/>
      <c r="L341" s="1">
        <v>677292413</v>
      </c>
      <c r="M341" s="30"/>
      <c r="N341" s="31"/>
      <c r="O341" s="31"/>
      <c r="P341" s="2" t="s">
        <v>2474</v>
      </c>
      <c r="Q341" s="2"/>
      <c r="R341" s="18"/>
      <c r="S341" s="18"/>
      <c r="T341" s="18"/>
      <c r="U341" s="2" t="str" cm="1">
        <f t="array" ref="U341">_xlfn.TEXTJOIN(", ", TRUE, IF(Y341:CG341="X", $Y$3:$CG$3, ""))</f>
        <v/>
      </c>
      <c r="V341" s="18" t="str" cm="1">
        <f t="array" ref="V341">_xlfn.TEXTJOIN(", ", TRUE, IF(Y341:CG341="X", $Y$2:$CG$2, ""))</f>
        <v/>
      </c>
      <c r="W341" s="2" t="str" cm="1">
        <f t="array" ref="W341">_xlfn.TEXTJOIN(", ", TRUE, IF(CH341:CS341="X", $CH$3:$CS$3, ""))</f>
        <v/>
      </c>
      <c r="X341" s="2" t="str" cm="1">
        <f t="array" ref="X341">_xlfn.TEXTJOIN(", ", TRUE, IF(CT341:CX341="X", $CT$3:$CX$3, ""))</f>
        <v/>
      </c>
    </row>
    <row r="342" spans="1:98" ht="18.75" customHeight="1" x14ac:dyDescent="0.25">
      <c r="A342" s="8">
        <v>307</v>
      </c>
      <c r="B342" s="2" t="s">
        <v>2475</v>
      </c>
      <c r="C342" s="2" t="s">
        <v>2476</v>
      </c>
      <c r="D342" s="29" t="s">
        <v>2477</v>
      </c>
      <c r="E342" s="29" t="s">
        <v>2478</v>
      </c>
      <c r="F342" s="18">
        <v>15350</v>
      </c>
      <c r="G342" s="8">
        <f ca="1">DATEDIF(F342, TODAY(), "Y")</f>
        <v>84</v>
      </c>
      <c r="H342" s="2" t="s">
        <v>2448</v>
      </c>
      <c r="I342" s="2" t="s">
        <v>2479</v>
      </c>
      <c r="J342" s="29"/>
      <c r="L342" s="1"/>
      <c r="M342" s="30"/>
      <c r="N342" s="31"/>
      <c r="O342" s="31"/>
      <c r="P342" s="49"/>
      <c r="Q342" s="49"/>
      <c r="R342" s="18"/>
      <c r="S342" s="18"/>
      <c r="T342" s="18"/>
      <c r="U342" s="2" t="str" cm="1">
        <f t="array" ref="U342">_xlfn.TEXTJOIN(", ", TRUE, IF(Y342:CG342="X", $Y$3:$CG$3, ""))</f>
        <v/>
      </c>
      <c r="V342" s="18" t="str" cm="1">
        <f t="array" ref="V342">_xlfn.TEXTJOIN(", ", TRUE, IF(Y342:CG342="X", $Y$2:$CG$2, ""))</f>
        <v/>
      </c>
      <c r="W342" s="2" t="str" cm="1">
        <f t="array" ref="W342">_xlfn.TEXTJOIN(", ", TRUE, IF(CH342:CS342="X", $CH$3:$CS$3, ""))</f>
        <v/>
      </c>
      <c r="X342" s="2" t="str" cm="1">
        <f t="array" ref="X342">_xlfn.TEXTJOIN(", ", TRUE, IF(CT342:CX342="X", $CT$3:$CX$3, ""))</f>
        <v/>
      </c>
      <c r="BX342" s="49"/>
      <c r="CH342" s="49"/>
      <c r="CI342" s="49"/>
      <c r="CJ342" s="49"/>
      <c r="CK342" s="49"/>
      <c r="CL342" s="49"/>
      <c r="CR342" s="49"/>
    </row>
    <row r="343" spans="1:98" ht="18.75" customHeight="1" x14ac:dyDescent="0.25">
      <c r="A343" s="8">
        <v>308</v>
      </c>
      <c r="B343" s="2" t="s">
        <v>2480</v>
      </c>
      <c r="C343" s="2" t="s">
        <v>2481</v>
      </c>
      <c r="D343" s="29" t="s">
        <v>2482</v>
      </c>
      <c r="E343" s="29" t="s">
        <v>2483</v>
      </c>
      <c r="F343" s="18">
        <v>23368</v>
      </c>
      <c r="G343" s="8">
        <f ca="1">DATEDIF(F343, TODAY(), "Y")</f>
        <v>62</v>
      </c>
      <c r="H343" s="2" t="s">
        <v>2448</v>
      </c>
      <c r="I343" s="2" t="s">
        <v>2484</v>
      </c>
      <c r="J343" s="29"/>
      <c r="L343" s="1">
        <v>666290529</v>
      </c>
      <c r="M343" s="30"/>
      <c r="N343" s="31"/>
      <c r="O343" s="31"/>
      <c r="P343" s="2" t="s">
        <v>2485</v>
      </c>
      <c r="Q343" s="2"/>
      <c r="R343" s="18"/>
      <c r="S343" s="18"/>
      <c r="T343" s="18"/>
      <c r="U343" s="2" t="str" cm="1">
        <f t="array" ref="U343">_xlfn.TEXTJOIN(", ", TRUE, IF(Y343:CG343="X", $Y$3:$CG$3, ""))</f>
        <v/>
      </c>
      <c r="V343" s="18" t="str" cm="1">
        <f t="array" ref="V343">_xlfn.TEXTJOIN(", ", TRUE, IF(Y343:CG343="X", $Y$2:$CG$2, ""))</f>
        <v/>
      </c>
      <c r="W343" s="2" t="str" cm="1">
        <f t="array" ref="W343">_xlfn.TEXTJOIN(", ", TRUE, IF(CH343:CS343="X", $CH$3:$CS$3, ""))</f>
        <v/>
      </c>
      <c r="X343" s="2" t="str" cm="1">
        <f t="array" ref="X343">_xlfn.TEXTJOIN(", ", TRUE, IF(CT343:CX343="X", $CT$3:$CX$3, ""))</f>
        <v/>
      </c>
      <c r="Z343" s="49"/>
      <c r="AK343" s="49"/>
      <c r="BX343" s="82"/>
      <c r="CH343" s="82"/>
      <c r="CI343" s="82"/>
      <c r="CJ343" s="82"/>
      <c r="CK343" s="82"/>
      <c r="CL343" s="82"/>
      <c r="CR343" s="82"/>
    </row>
    <row r="344" spans="1:98" ht="18.75" customHeight="1" x14ac:dyDescent="0.25">
      <c r="A344" s="8">
        <v>309</v>
      </c>
      <c r="B344" s="2" t="s">
        <v>2486</v>
      </c>
      <c r="C344" s="2" t="s">
        <v>2487</v>
      </c>
      <c r="D344" s="29" t="s">
        <v>2488</v>
      </c>
      <c r="E344" s="29" t="s">
        <v>2489</v>
      </c>
      <c r="F344" s="18">
        <v>23085</v>
      </c>
      <c r="G344" s="8">
        <f ca="1">DATEDIF(F344, TODAY(), "Y")</f>
        <v>63</v>
      </c>
      <c r="H344" s="2" t="s">
        <v>2448</v>
      </c>
      <c r="I344" s="2" t="s">
        <v>1049</v>
      </c>
      <c r="J344" s="29"/>
      <c r="L344" s="1">
        <v>943801931</v>
      </c>
      <c r="M344" s="30"/>
      <c r="N344" s="31"/>
      <c r="O344" s="31"/>
      <c r="P344" s="2" t="s">
        <v>2490</v>
      </c>
      <c r="Q344" s="2"/>
      <c r="R344" s="18"/>
      <c r="S344" s="18"/>
      <c r="T344" s="18"/>
      <c r="U344" s="2" t="str" cm="1">
        <f t="array" ref="U344">_xlfn.TEXTJOIN(", ", TRUE, IF(Y344:CG344="X", $Y$3:$CG$3, ""))</f>
        <v/>
      </c>
      <c r="V344" s="18" t="str" cm="1">
        <f t="array" ref="V344">_xlfn.TEXTJOIN(", ", TRUE, IF(Y344:CG344="X", $Y$2:$CG$2, ""))</f>
        <v/>
      </c>
      <c r="W344" s="2" t="str" cm="1">
        <f t="array" ref="W344">_xlfn.TEXTJOIN(", ", TRUE, IF(CH344:CS344="X", $CH$3:$CS$3, ""))</f>
        <v/>
      </c>
      <c r="X344" s="2" t="str" cm="1">
        <f t="array" ref="X344">_xlfn.TEXTJOIN(", ", TRUE, IF(CT344:CX344="X", $CT$3:$CX$3, ""))</f>
        <v/>
      </c>
      <c r="Z344" s="82"/>
      <c r="AK344" s="82"/>
    </row>
    <row r="345" spans="1:98" ht="18.75" customHeight="1" x14ac:dyDescent="0.25">
      <c r="A345" s="8">
        <v>310</v>
      </c>
      <c r="B345" s="2" t="s">
        <v>2491</v>
      </c>
      <c r="C345" s="2" t="s">
        <v>2492</v>
      </c>
      <c r="D345" s="29" t="s">
        <v>2493</v>
      </c>
      <c r="E345" s="29" t="s">
        <v>2494</v>
      </c>
      <c r="F345" s="18">
        <v>24048</v>
      </c>
      <c r="G345" s="8">
        <f ca="1">DATEDIF(F345, TODAY(), "Y")</f>
        <v>60</v>
      </c>
      <c r="H345" s="2" t="s">
        <v>2448</v>
      </c>
      <c r="I345" s="2" t="s">
        <v>2495</v>
      </c>
      <c r="J345" s="29"/>
      <c r="L345" s="1"/>
      <c r="M345" s="30"/>
      <c r="N345" s="31"/>
      <c r="O345" s="31"/>
      <c r="P345" s="49"/>
      <c r="Q345" s="49"/>
      <c r="R345" s="18"/>
      <c r="S345" s="18"/>
      <c r="T345" s="18"/>
      <c r="U345" s="2" t="str" cm="1">
        <f t="array" ref="U345">_xlfn.TEXTJOIN(", ", TRUE, IF(Y345:CG345="X", $Y$3:$CG$3, ""))</f>
        <v/>
      </c>
      <c r="V345" s="18" t="str" cm="1">
        <f t="array" ref="V345">_xlfn.TEXTJOIN(", ", TRUE, IF(Y345:CG345="X", $Y$2:$CG$2, ""))</f>
        <v/>
      </c>
      <c r="W345" s="2" t="str" cm="1">
        <f t="array" ref="W345">_xlfn.TEXTJOIN(", ", TRUE, IF(CH345:CS345="X", $CH$3:$CS$3, ""))</f>
        <v/>
      </c>
      <c r="X345" s="2" t="str" cm="1">
        <f t="array" ref="X345">_xlfn.TEXTJOIN(", ", TRUE, IF(CT345:CX345="X", $CT$3:$CX$3, ""))</f>
        <v/>
      </c>
    </row>
    <row r="346" spans="1:98" ht="18.75" customHeight="1" x14ac:dyDescent="0.25">
      <c r="A346" s="8">
        <v>311</v>
      </c>
      <c r="B346" s="2" t="s">
        <v>2496</v>
      </c>
      <c r="C346" s="2" t="s">
        <v>2497</v>
      </c>
      <c r="D346" s="29" t="s">
        <v>2498</v>
      </c>
      <c r="E346" s="29" t="s">
        <v>2499</v>
      </c>
      <c r="F346" s="18">
        <v>15485</v>
      </c>
      <c r="G346" s="8">
        <f ca="1">DATEDIF(F346, TODAY(), "Y")</f>
        <v>84</v>
      </c>
      <c r="H346" s="2" t="s">
        <v>2448</v>
      </c>
      <c r="I346" s="2" t="s">
        <v>2500</v>
      </c>
      <c r="J346" s="29"/>
      <c r="L346" s="1"/>
      <c r="M346" s="30"/>
      <c r="N346" s="31"/>
      <c r="O346" s="31"/>
      <c r="P346" s="49"/>
      <c r="Q346" s="49"/>
      <c r="R346" s="18"/>
      <c r="S346" s="18"/>
      <c r="T346" s="18"/>
      <c r="U346" s="2" t="str" cm="1">
        <f t="array" ref="U346">_xlfn.TEXTJOIN(", ", TRUE, IF(Y346:CG346="X", $Y$3:$CG$3, ""))</f>
        <v/>
      </c>
      <c r="V346" s="18" t="str" cm="1">
        <f t="array" ref="V346">_xlfn.TEXTJOIN(", ", TRUE, IF(Y346:CG346="X", $Y$2:$CG$2, ""))</f>
        <v/>
      </c>
      <c r="W346" s="2" t="str" cm="1">
        <f t="array" ref="W346">_xlfn.TEXTJOIN(", ", TRUE, IF(CH346:CS346="X", $CH$3:$CS$3, ""))</f>
        <v/>
      </c>
      <c r="X346" s="2" t="str" cm="1">
        <f t="array" ref="X346">_xlfn.TEXTJOIN(", ", TRUE, IF(CT346:CX346="X", $CT$3:$CX$3, ""))</f>
        <v/>
      </c>
      <c r="AK346" s="49"/>
      <c r="AO346" s="49"/>
      <c r="AP346" s="49"/>
      <c r="AR346" s="49"/>
      <c r="CI346" s="49"/>
      <c r="CJ346" s="49"/>
      <c r="CL346" s="49"/>
      <c r="CR346" s="49"/>
    </row>
    <row r="347" spans="1:98" ht="18.75" customHeight="1" x14ac:dyDescent="0.25">
      <c r="A347" s="8">
        <v>312</v>
      </c>
      <c r="B347" s="2" t="s">
        <v>2501</v>
      </c>
      <c r="C347" s="2" t="s">
        <v>2502</v>
      </c>
      <c r="D347" s="29" t="s">
        <v>2503</v>
      </c>
      <c r="E347" s="29" t="s">
        <v>2504</v>
      </c>
      <c r="F347" s="18">
        <v>19405</v>
      </c>
      <c r="G347" s="8">
        <f ca="1">DATEDIF(F347, TODAY(), "Y")</f>
        <v>73</v>
      </c>
      <c r="H347" s="2" t="s">
        <v>2448</v>
      </c>
      <c r="I347" s="2" t="s">
        <v>2505</v>
      </c>
      <c r="J347" s="29"/>
      <c r="L347" s="1"/>
      <c r="M347" s="30"/>
      <c r="N347" s="31"/>
      <c r="O347" s="35"/>
      <c r="P347" s="82"/>
      <c r="Q347" s="82"/>
      <c r="R347" s="67"/>
      <c r="S347" s="67"/>
      <c r="T347" s="67"/>
      <c r="U347" s="2" t="str" cm="1">
        <f t="array" ref="U347">_xlfn.TEXTJOIN(", ", TRUE, IF(Y347:CG347="X", $Y$3:$CG$3, ""))</f>
        <v/>
      </c>
      <c r="V347" s="18" t="str" cm="1">
        <f t="array" ref="V347">_xlfn.TEXTJOIN(", ", TRUE, IF(Y347:CG347="X", $Y$2:$CG$2, ""))</f>
        <v/>
      </c>
      <c r="W347" s="2" t="str" cm="1">
        <f t="array" ref="W347">_xlfn.TEXTJOIN(", ", TRUE, IF(CH347:CS347="X", $CH$3:$CS$3, ""))</f>
        <v/>
      </c>
      <c r="X347" s="2" t="str" cm="1">
        <f t="array" ref="X347">_xlfn.TEXTJOIN(", ", TRUE, IF(CT347:CX347="X", $CT$3:$CX$3, ""))</f>
        <v/>
      </c>
      <c r="AK347" s="82"/>
      <c r="AO347" s="82"/>
      <c r="AP347" s="82"/>
      <c r="AR347" s="82"/>
      <c r="CI347" s="82"/>
      <c r="CJ347" s="82"/>
      <c r="CL347" s="82"/>
      <c r="CR347" s="82"/>
    </row>
    <row r="348" spans="1:98" ht="18.75" customHeight="1" x14ac:dyDescent="0.25">
      <c r="A348" s="8">
        <v>313</v>
      </c>
      <c r="B348" s="2" t="s">
        <v>2506</v>
      </c>
      <c r="C348" s="2" t="s">
        <v>2507</v>
      </c>
      <c r="D348" s="29" t="s">
        <v>2508</v>
      </c>
      <c r="E348" s="29" t="s">
        <v>2509</v>
      </c>
      <c r="F348" s="18">
        <v>25634</v>
      </c>
      <c r="G348" s="8">
        <f ca="1">DATEDIF(F348, TODAY(), "Y")</f>
        <v>56</v>
      </c>
      <c r="H348" s="2" t="s">
        <v>2448</v>
      </c>
      <c r="I348" s="2" t="s">
        <v>3026</v>
      </c>
      <c r="J348" s="29"/>
      <c r="L348" s="1">
        <v>606372092</v>
      </c>
      <c r="M348" s="30"/>
      <c r="N348" s="31"/>
      <c r="O348" s="31"/>
      <c r="P348" s="2" t="s">
        <v>2510</v>
      </c>
      <c r="Q348" s="2"/>
      <c r="R348" s="18"/>
      <c r="S348" s="18"/>
      <c r="T348" s="18"/>
      <c r="U348" s="2" t="str" cm="1">
        <f t="array" ref="U348">_xlfn.TEXTJOIN(", ", TRUE, IF(Y348:CG348="X", $Y$3:$CG$3, ""))</f>
        <v/>
      </c>
      <c r="V348" s="18" t="str" cm="1">
        <f t="array" ref="V348">_xlfn.TEXTJOIN(", ", TRUE, IF(Y348:CG348="X", $Y$2:$CG$2, ""))</f>
        <v/>
      </c>
      <c r="W348" s="2" t="str" cm="1">
        <f t="array" ref="W348">_xlfn.TEXTJOIN(", ", TRUE, IF(CH348:CS348="X", $CH$3:$CS$3, ""))</f>
        <v/>
      </c>
      <c r="X348" s="2" t="str" cm="1">
        <f t="array" ref="X348">_xlfn.TEXTJOIN(", ", TRUE, IF(CT348:CX348="X", $CT$3:$CX$3, ""))</f>
        <v/>
      </c>
      <c r="BA348" s="49"/>
      <c r="BB348" s="49"/>
      <c r="BC348" s="49"/>
      <c r="CH348" s="49"/>
      <c r="CI348" s="49"/>
      <c r="CJ348" s="49"/>
      <c r="CM348" s="49"/>
      <c r="CP348" s="49"/>
      <c r="CQ348" s="38"/>
      <c r="CT348" s="49"/>
    </row>
    <row r="349" spans="1:98" ht="18.75" customHeight="1" x14ac:dyDescent="0.25">
      <c r="A349" s="8">
        <v>314</v>
      </c>
      <c r="B349" s="2" t="s">
        <v>2511</v>
      </c>
      <c r="C349" s="2" t="s">
        <v>2512</v>
      </c>
      <c r="D349" s="29" t="s">
        <v>2513</v>
      </c>
      <c r="E349" s="29" t="s">
        <v>2514</v>
      </c>
      <c r="F349" s="18">
        <v>24375</v>
      </c>
      <c r="G349" s="8">
        <f ca="1">DATEDIF(F349, TODAY(), "Y")</f>
        <v>59</v>
      </c>
      <c r="H349" s="2" t="s">
        <v>2448</v>
      </c>
      <c r="I349" s="2" t="s">
        <v>2515</v>
      </c>
      <c r="J349" s="29"/>
      <c r="L349" s="1">
        <v>628895243</v>
      </c>
      <c r="M349" s="30"/>
      <c r="N349" s="31"/>
      <c r="O349" s="35"/>
      <c r="P349" s="65" t="s">
        <v>2516</v>
      </c>
      <c r="Q349" s="65"/>
      <c r="R349" s="18"/>
      <c r="S349" s="18"/>
      <c r="T349" s="18"/>
      <c r="U349" s="2" t="str" cm="1">
        <f t="array" ref="U349">_xlfn.TEXTJOIN(", ", TRUE, IF(Y349:CG349="X", $Y$3:$CG$3, ""))</f>
        <v/>
      </c>
      <c r="V349" s="18" t="str" cm="1">
        <f t="array" ref="V349">_xlfn.TEXTJOIN(", ", TRUE, IF(Y349:CG349="X", $Y$2:$CG$2, ""))</f>
        <v/>
      </c>
      <c r="W349" s="2" t="str" cm="1">
        <f t="array" ref="W349">_xlfn.TEXTJOIN(", ", TRUE, IF(CH349:CS349="X", $CH$3:$CS$3, ""))</f>
        <v/>
      </c>
      <c r="X349" s="2" t="str" cm="1">
        <f t="array" ref="X349">_xlfn.TEXTJOIN(", ", TRUE, IF(CT349:CX349="X", $CT$3:$CX$3, ""))</f>
        <v/>
      </c>
      <c r="BA349" s="82"/>
      <c r="BB349" s="82"/>
      <c r="BC349" s="82"/>
      <c r="CH349" s="82"/>
      <c r="CI349" s="82"/>
      <c r="CJ349" s="82"/>
      <c r="CM349" s="82"/>
      <c r="CP349" s="82"/>
      <c r="CQ349" s="82"/>
      <c r="CT349" s="82"/>
    </row>
    <row r="350" spans="1:98" ht="18.75" customHeight="1" x14ac:dyDescent="0.25">
      <c r="A350" s="8">
        <v>315</v>
      </c>
      <c r="B350" s="2" t="s">
        <v>2517</v>
      </c>
      <c r="C350" s="2" t="s">
        <v>2518</v>
      </c>
      <c r="D350" s="29" t="s">
        <v>2519</v>
      </c>
      <c r="E350" s="29" t="s">
        <v>2520</v>
      </c>
      <c r="F350" s="18">
        <v>20932</v>
      </c>
      <c r="G350" s="8">
        <f ca="1">DATEDIF(F350, TODAY(), "Y")</f>
        <v>69</v>
      </c>
      <c r="H350" s="2" t="s">
        <v>605</v>
      </c>
      <c r="I350" s="2" t="s">
        <v>2521</v>
      </c>
      <c r="J350" s="29"/>
      <c r="L350" s="1"/>
      <c r="M350" s="30"/>
      <c r="N350" s="31"/>
      <c r="O350" s="35"/>
      <c r="R350" s="18"/>
      <c r="S350" s="18"/>
      <c r="T350" s="18"/>
      <c r="U350" s="2" t="str" cm="1">
        <f t="array" ref="U350">_xlfn.TEXTJOIN(", ", TRUE, IF(Y350:CG350="X", $Y$3:$CG$3, ""))</f>
        <v/>
      </c>
      <c r="V350" s="18" t="str" cm="1">
        <f t="array" ref="V350">_xlfn.TEXTJOIN(", ", TRUE, IF(Y350:CG350="X", $Y$2:$CG$2, ""))</f>
        <v/>
      </c>
      <c r="W350" s="2" t="str" cm="1">
        <f t="array" ref="W350">_xlfn.TEXTJOIN(", ", TRUE, IF(CH350:CS350="X", $CH$3:$CS$3, ""))</f>
        <v/>
      </c>
      <c r="X350" s="2" t="str" cm="1">
        <f t="array" ref="X350">_xlfn.TEXTJOIN(", ", TRUE, IF(CT350:CX350="X", $CT$3:$CX$3, ""))</f>
        <v/>
      </c>
    </row>
    <row r="351" spans="1:98" ht="18.75" customHeight="1" x14ac:dyDescent="0.25">
      <c r="A351" s="8">
        <v>316</v>
      </c>
      <c r="B351" s="2" t="s">
        <v>2522</v>
      </c>
      <c r="C351" s="2" t="s">
        <v>2523</v>
      </c>
      <c r="D351" s="29" t="s">
        <v>2524</v>
      </c>
      <c r="E351" s="29" t="s">
        <v>2525</v>
      </c>
      <c r="F351" s="18">
        <v>30283</v>
      </c>
      <c r="G351" s="8">
        <f ca="1">DATEDIF(F351, TODAY(), "Y")</f>
        <v>43</v>
      </c>
      <c r="H351" s="2" t="s">
        <v>605</v>
      </c>
      <c r="I351" s="2" t="s">
        <v>2526</v>
      </c>
      <c r="J351" s="29"/>
      <c r="L351" s="1">
        <v>627824757</v>
      </c>
      <c r="M351" s="30"/>
      <c r="N351" s="31"/>
      <c r="O351" s="35"/>
      <c r="P351" s="65" t="s">
        <v>2527</v>
      </c>
      <c r="Q351" s="65"/>
      <c r="R351" s="67"/>
      <c r="S351" s="67"/>
      <c r="T351" s="67"/>
      <c r="U351" s="2" t="str" cm="1">
        <f t="array" ref="U351">_xlfn.TEXTJOIN(", ", TRUE, IF(Y351:CG351="X", $Y$3:$CG$3, ""))</f>
        <v/>
      </c>
      <c r="V351" s="18" t="str" cm="1">
        <f t="array" ref="V351">_xlfn.TEXTJOIN(", ", TRUE, IF(Y351:CG351="X", $Y$2:$CG$2, ""))</f>
        <v/>
      </c>
      <c r="W351" s="2" t="str" cm="1">
        <f t="array" ref="W351">_xlfn.TEXTJOIN(", ", TRUE, IF(CH351:CS351="X", $CH$3:$CS$3, ""))</f>
        <v/>
      </c>
      <c r="X351" s="2" t="str" cm="1">
        <f t="array" ref="X351">_xlfn.TEXTJOIN(", ", TRUE, IF(CT351:CX351="X", $CT$3:$CX$3, ""))</f>
        <v/>
      </c>
    </row>
    <row r="352" spans="1:98" ht="18.75" customHeight="1" x14ac:dyDescent="0.25">
      <c r="A352" s="8">
        <v>317</v>
      </c>
      <c r="B352" s="2" t="s">
        <v>2528</v>
      </c>
      <c r="C352" s="2" t="s">
        <v>2529</v>
      </c>
      <c r="D352" s="29" t="s">
        <v>2530</v>
      </c>
      <c r="E352" s="29" t="s">
        <v>2531</v>
      </c>
      <c r="F352" s="18">
        <v>20418</v>
      </c>
      <c r="G352" s="8">
        <f ca="1">DATEDIF(F352, TODAY(), "Y")</f>
        <v>70</v>
      </c>
      <c r="H352" s="2" t="s">
        <v>605</v>
      </c>
      <c r="I352" s="2" t="s">
        <v>2532</v>
      </c>
      <c r="J352" s="29"/>
      <c r="L352" s="1">
        <v>659867224</v>
      </c>
      <c r="M352" s="30"/>
      <c r="N352" s="31"/>
      <c r="O352" s="31"/>
      <c r="P352" s="2" t="s">
        <v>2533</v>
      </c>
      <c r="Q352" s="2"/>
      <c r="R352" s="18"/>
      <c r="S352" s="18"/>
      <c r="T352" s="18"/>
      <c r="U352" s="2" t="str" cm="1">
        <f t="array" ref="U352">_xlfn.TEXTJOIN(", ", TRUE, IF(Y352:CG352="X", $Y$3:$CG$3, ""))</f>
        <v/>
      </c>
      <c r="V352" s="18" t="str" cm="1">
        <f t="array" ref="V352">_xlfn.TEXTJOIN(", ", TRUE, IF(Y352:CG352="X", $Y$2:$CG$2, ""))</f>
        <v/>
      </c>
      <c r="W352" s="2" t="str" cm="1">
        <f t="array" ref="W352">_xlfn.TEXTJOIN(", ", TRUE, IF(CH352:CS352="X", $CH$3:$CS$3, ""))</f>
        <v/>
      </c>
      <c r="X352" s="2" t="str" cm="1">
        <f t="array" ref="X352">_xlfn.TEXTJOIN(", ", TRUE, IF(CT352:CX352="X", $CT$3:$CX$3, ""))</f>
        <v/>
      </c>
    </row>
    <row r="353" spans="1:102" ht="18.75" customHeight="1" x14ac:dyDescent="0.25">
      <c r="A353" s="8">
        <v>318</v>
      </c>
      <c r="B353" s="2" t="s">
        <v>2534</v>
      </c>
      <c r="C353" s="2" t="s">
        <v>2535</v>
      </c>
      <c r="D353" s="29" t="s">
        <v>2536</v>
      </c>
      <c r="E353" s="29" t="s">
        <v>2537</v>
      </c>
      <c r="F353" s="18">
        <v>13416</v>
      </c>
      <c r="G353" s="8">
        <f ca="1">DATEDIF(F353, TODAY(), "Y")</f>
        <v>89</v>
      </c>
      <c r="H353" s="2" t="s">
        <v>605</v>
      </c>
      <c r="I353" s="2" t="s">
        <v>2538</v>
      </c>
      <c r="J353" s="29"/>
      <c r="L353" s="1">
        <v>943801833</v>
      </c>
      <c r="M353" s="30"/>
      <c r="N353" s="31"/>
      <c r="O353" s="35"/>
      <c r="P353" s="65" t="s">
        <v>2539</v>
      </c>
      <c r="Q353" s="65"/>
      <c r="R353" s="67"/>
      <c r="S353" s="67"/>
      <c r="T353" s="67"/>
      <c r="U353" s="2" t="str" cm="1">
        <f t="array" ref="U353">_xlfn.TEXTJOIN(", ", TRUE, IF(Y353:CG353="X", $Y$3:$CG$3, ""))</f>
        <v/>
      </c>
      <c r="V353" s="18" t="str" cm="1">
        <f t="array" ref="V353">_xlfn.TEXTJOIN(", ", TRUE, IF(Y353:CG353="X", $Y$2:$CG$2, ""))</f>
        <v/>
      </c>
      <c r="W353" s="2" t="str" cm="1">
        <f t="array" ref="W353">_xlfn.TEXTJOIN(", ", TRUE, IF(CH353:CS353="X", $CH$3:$CS$3, ""))</f>
        <v/>
      </c>
      <c r="X353" s="2" t="str" cm="1">
        <f t="array" ref="X353">_xlfn.TEXTJOIN(", ", TRUE, IF(CT353:CX353="X", $CT$3:$CX$3, ""))</f>
        <v/>
      </c>
    </row>
    <row r="354" spans="1:102" ht="18.75" customHeight="1" x14ac:dyDescent="0.25">
      <c r="A354" s="8">
        <v>319</v>
      </c>
      <c r="B354" s="2" t="s">
        <v>2540</v>
      </c>
      <c r="C354" s="2" t="s">
        <v>2541</v>
      </c>
      <c r="D354" s="29" t="s">
        <v>2542</v>
      </c>
      <c r="E354" s="29" t="s">
        <v>2543</v>
      </c>
      <c r="F354" s="18">
        <v>24401</v>
      </c>
      <c r="G354" s="8">
        <f ca="1">DATEDIF(F354, TODAY(), "Y")</f>
        <v>59</v>
      </c>
      <c r="H354" s="2" t="s">
        <v>605</v>
      </c>
      <c r="I354" s="2" t="s">
        <v>2544</v>
      </c>
      <c r="J354" s="29"/>
      <c r="L354" s="1" t="s">
        <v>2545</v>
      </c>
      <c r="M354" s="30"/>
      <c r="N354" s="31"/>
      <c r="O354" s="35"/>
      <c r="P354" s="65" t="s">
        <v>2546</v>
      </c>
      <c r="Q354" s="65" t="s">
        <v>3020</v>
      </c>
      <c r="R354" s="2" t="s">
        <v>772</v>
      </c>
      <c r="S354" s="2"/>
      <c r="T354" s="2"/>
      <c r="U354" s="2" t="str" cm="1">
        <f t="array" ref="U354">_xlfn.TEXTJOIN(", ", TRUE, IF(Y354:CG354="X", $Y$3:$CG$3, ""))</f>
        <v>Ardi gazta</v>
      </c>
      <c r="V354" s="18" t="str" cm="1">
        <f t="array" ref="V354">_xlfn.TEXTJOIN(", ", TRUE, IF(Y354:CG354="X", $Y$2:$CG$2, ""))</f>
        <v>ESNEKIAK</v>
      </c>
      <c r="W354" s="2" t="str" cm="1">
        <f t="array" ref="W354">_xlfn.TEXTJOIN(", ", TRUE, IF(CH354:CS354="X", $CH$3:$CS$3, ""))</f>
        <v/>
      </c>
      <c r="X354" s="2" t="str" cm="1">
        <f t="array" ref="X354">_xlfn.TEXTJOIN(", ", TRUE, IF(CT354:CX354="X", $CT$3:$CX$3, ""))</f>
        <v>DO Idiazabal, Artzai Gazta</v>
      </c>
      <c r="AC354" s="65" t="s">
        <v>764</v>
      </c>
      <c r="CW354" s="65" t="s">
        <v>764</v>
      </c>
      <c r="CX354" s="65" t="s">
        <v>764</v>
      </c>
    </row>
    <row r="355" spans="1:102" ht="18.75" customHeight="1" x14ac:dyDescent="0.25">
      <c r="A355" s="8">
        <v>321</v>
      </c>
      <c r="B355" s="2" t="s">
        <v>2555</v>
      </c>
      <c r="C355" s="2" t="s">
        <v>2556</v>
      </c>
      <c r="D355" s="29" t="s">
        <v>2557</v>
      </c>
      <c r="E355" s="29" t="s">
        <v>2558</v>
      </c>
      <c r="F355" s="18">
        <v>23567</v>
      </c>
      <c r="G355" s="8">
        <f ca="1">DATEDIF(F355, TODAY(), "Y")</f>
        <v>62</v>
      </c>
      <c r="H355" s="2" t="s">
        <v>605</v>
      </c>
      <c r="I355" s="2" t="s">
        <v>2559</v>
      </c>
      <c r="J355" s="29"/>
      <c r="L355" s="1">
        <v>627067353</v>
      </c>
      <c r="M355" s="30"/>
      <c r="N355" s="31"/>
      <c r="O355" s="35"/>
      <c r="P355" s="65" t="s">
        <v>2560</v>
      </c>
      <c r="Q355" s="65"/>
      <c r="R355" s="67"/>
      <c r="S355" s="67"/>
      <c r="T355" s="67"/>
      <c r="U355" s="2" t="str" cm="1">
        <f t="array" ref="U355">_xlfn.TEXTJOIN(", ", TRUE, IF(Y355:CG355="X", $Y$3:$CG$3, ""))</f>
        <v/>
      </c>
      <c r="V355" s="18" t="str" cm="1">
        <f t="array" ref="V355">_xlfn.TEXTJOIN(", ", TRUE, IF(Y355:CG355="X", $Y$2:$CG$2, ""))</f>
        <v/>
      </c>
      <c r="W355" s="2" t="str" cm="1">
        <f t="array" ref="W355">_xlfn.TEXTJOIN(", ", TRUE, IF(CH355:CS355="X", $CH$3:$CS$3, ""))</f>
        <v/>
      </c>
      <c r="X355" s="2" t="str" cm="1">
        <f t="array" ref="X355">_xlfn.TEXTJOIN(", ", TRUE, IF(CT355:CX355="X", $CT$3:$CX$3, ""))</f>
        <v/>
      </c>
    </row>
    <row r="356" spans="1:102" ht="18.75" customHeight="1" x14ac:dyDescent="0.25">
      <c r="A356" s="8">
        <v>322</v>
      </c>
      <c r="B356" s="2" t="s">
        <v>2561</v>
      </c>
      <c r="C356" s="2" t="s">
        <v>2562</v>
      </c>
      <c r="D356" s="29" t="s">
        <v>2563</v>
      </c>
      <c r="E356" s="29" t="s">
        <v>2564</v>
      </c>
      <c r="F356" s="18">
        <v>16407</v>
      </c>
      <c r="G356" s="8">
        <f ca="1">DATEDIF(F356, TODAY(), "Y")</f>
        <v>81</v>
      </c>
      <c r="H356" s="2" t="s">
        <v>605</v>
      </c>
      <c r="I356" s="2" t="s">
        <v>2565</v>
      </c>
      <c r="J356" s="29"/>
      <c r="L356" s="1"/>
      <c r="M356" s="30"/>
      <c r="N356" s="31"/>
      <c r="O356" s="35"/>
      <c r="R356" s="18"/>
      <c r="S356" s="18"/>
      <c r="T356" s="18"/>
      <c r="U356" s="2" t="str" cm="1">
        <f t="array" ref="U356">_xlfn.TEXTJOIN(", ", TRUE, IF(Y356:CG356="X", $Y$3:$CG$3, ""))</f>
        <v/>
      </c>
      <c r="V356" s="18" t="str" cm="1">
        <f t="array" ref="V356">_xlfn.TEXTJOIN(", ", TRUE, IF(Y356:CG356="X", $Y$2:$CG$2, ""))</f>
        <v/>
      </c>
      <c r="W356" s="2" t="str" cm="1">
        <f t="array" ref="W356">_xlfn.TEXTJOIN(", ", TRUE, IF(CH356:CS356="X", $CH$3:$CS$3, ""))</f>
        <v/>
      </c>
      <c r="X356" s="2" t="str" cm="1">
        <f t="array" ref="X356">_xlfn.TEXTJOIN(", ", TRUE, IF(CT356:CX356="X", $CT$3:$CX$3, ""))</f>
        <v/>
      </c>
    </row>
    <row r="357" spans="1:102" ht="18.75" customHeight="1" x14ac:dyDescent="0.25">
      <c r="A357" s="8">
        <v>325</v>
      </c>
      <c r="B357" s="2" t="s">
        <v>2580</v>
      </c>
      <c r="C357" s="2" t="s">
        <v>2581</v>
      </c>
      <c r="D357" s="29" t="s">
        <v>2582</v>
      </c>
      <c r="E357" s="29" t="s">
        <v>2583</v>
      </c>
      <c r="F357" s="18">
        <v>19091</v>
      </c>
      <c r="G357" s="8">
        <f ca="1">DATEDIF(F357, TODAY(), "Y")</f>
        <v>74</v>
      </c>
      <c r="H357" s="2" t="s">
        <v>605</v>
      </c>
      <c r="I357" s="2" t="s">
        <v>2584</v>
      </c>
      <c r="J357" s="29"/>
      <c r="L357" s="1">
        <v>676447680</v>
      </c>
      <c r="M357" s="30"/>
      <c r="N357" s="31"/>
      <c r="O357" s="35"/>
      <c r="P357" s="65" t="s">
        <v>2585</v>
      </c>
      <c r="Q357" s="65"/>
      <c r="R357" s="18"/>
      <c r="S357" s="18"/>
      <c r="T357" s="18"/>
      <c r="U357" s="2" t="str" cm="1">
        <f t="array" ref="U357">_xlfn.TEXTJOIN(", ", TRUE, IF(Y357:CG357="X", $Y$3:$CG$3, ""))</f>
        <v/>
      </c>
      <c r="V357" s="18" t="str" cm="1">
        <f t="array" ref="V357">_xlfn.TEXTJOIN(", ", TRUE, IF(Y357:CG357="X", $Y$2:$CG$2, ""))</f>
        <v/>
      </c>
      <c r="W357" s="2" t="str" cm="1">
        <f t="array" ref="W357">_xlfn.TEXTJOIN(", ", TRUE, IF(CH357:CS357="X", $CH$3:$CS$3, ""))</f>
        <v/>
      </c>
      <c r="X357" s="2" t="str" cm="1">
        <f t="array" ref="X357">_xlfn.TEXTJOIN(", ", TRUE, IF(CT357:CX357="X", $CT$3:$CX$3, ""))</f>
        <v/>
      </c>
    </row>
    <row r="358" spans="1:102" ht="18.75" customHeight="1" x14ac:dyDescent="0.25">
      <c r="A358" s="8">
        <v>326</v>
      </c>
      <c r="B358" s="2" t="s">
        <v>2580</v>
      </c>
      <c r="C358" s="2" t="s">
        <v>2581</v>
      </c>
      <c r="D358" s="29" t="s">
        <v>2582</v>
      </c>
      <c r="E358" s="29" t="s">
        <v>2583</v>
      </c>
      <c r="F358" s="18"/>
      <c r="G358" s="8">
        <f ca="1">DATEDIF(F358, TODAY(), "Y")</f>
        <v>126</v>
      </c>
      <c r="H358" s="2" t="s">
        <v>605</v>
      </c>
      <c r="I358" s="2" t="s">
        <v>2586</v>
      </c>
      <c r="J358" s="29"/>
      <c r="L358" s="1"/>
      <c r="M358" s="30"/>
      <c r="N358" s="31"/>
      <c r="O358" s="31"/>
      <c r="P358" s="49"/>
      <c r="Q358" s="49"/>
      <c r="R358" s="49"/>
      <c r="S358" s="49"/>
      <c r="T358" s="49"/>
      <c r="U358" s="2" t="str" cm="1">
        <f t="array" ref="U358">_xlfn.TEXTJOIN(", ", TRUE, IF(Y358:CG358="X", $Y$3:$CG$3, ""))</f>
        <v/>
      </c>
      <c r="V358" s="18" t="str" cm="1">
        <f t="array" ref="V358">_xlfn.TEXTJOIN(", ", TRUE, IF(Y358:CG358="X", $Y$2:$CG$2, ""))</f>
        <v/>
      </c>
      <c r="W358" s="2" t="str" cm="1">
        <f t="array" ref="W358">_xlfn.TEXTJOIN(", ", TRUE, IF(CH358:CS358="X", $CH$3:$CS$3, ""))</f>
        <v/>
      </c>
      <c r="X358" s="2" t="str" cm="1">
        <f t="array" ref="X358">_xlfn.TEXTJOIN(", ", TRUE, IF(CT358:CX358="X", $CT$3:$CX$3, ""))</f>
        <v/>
      </c>
    </row>
    <row r="359" spans="1:102" ht="18.75" customHeight="1" x14ac:dyDescent="0.25">
      <c r="A359" s="8">
        <v>328</v>
      </c>
      <c r="B359" s="2" t="s">
        <v>2594</v>
      </c>
      <c r="C359" s="2" t="s">
        <v>2595</v>
      </c>
      <c r="D359" s="29" t="s">
        <v>2596</v>
      </c>
      <c r="E359" s="29" t="s">
        <v>2597</v>
      </c>
      <c r="F359" s="18">
        <v>15685</v>
      </c>
      <c r="G359" s="8">
        <f ca="1">DATEDIF(F359, TODAY(), "Y")</f>
        <v>83</v>
      </c>
      <c r="H359" s="2" t="s">
        <v>605</v>
      </c>
      <c r="I359" s="2" t="s">
        <v>2598</v>
      </c>
      <c r="J359" s="29"/>
      <c r="L359" s="1"/>
      <c r="M359" s="30"/>
      <c r="N359" s="31"/>
      <c r="O359" s="35"/>
      <c r="R359" s="18"/>
      <c r="S359" s="18"/>
      <c r="T359" s="18"/>
      <c r="U359" s="2" t="str" cm="1">
        <f t="array" ref="U359">_xlfn.TEXTJOIN(", ", TRUE, IF(Y359:CG359="X", $Y$3:$CG$3, ""))</f>
        <v/>
      </c>
      <c r="V359" s="18" t="str" cm="1">
        <f t="array" ref="V359">_xlfn.TEXTJOIN(", ", TRUE, IF(Y359:CG359="X", $Y$2:$CG$2, ""))</f>
        <v/>
      </c>
      <c r="W359" s="2" t="str" cm="1">
        <f t="array" ref="W359">_xlfn.TEXTJOIN(", ", TRUE, IF(CH359:CS359="X", $CH$3:$CS$3, ""))</f>
        <v/>
      </c>
      <c r="X359" s="2" t="str" cm="1">
        <f t="array" ref="X359">_xlfn.TEXTJOIN(", ", TRUE, IF(CT359:CX359="X", $CT$3:$CX$3, ""))</f>
        <v/>
      </c>
    </row>
    <row r="360" spans="1:102" ht="18.75" customHeight="1" x14ac:dyDescent="0.25">
      <c r="A360" s="8">
        <v>333</v>
      </c>
      <c r="B360" s="2" t="s">
        <v>2620</v>
      </c>
      <c r="C360" s="2" t="s">
        <v>2621</v>
      </c>
      <c r="D360" s="29" t="s">
        <v>2622</v>
      </c>
      <c r="E360" s="29" t="s">
        <v>2623</v>
      </c>
      <c r="F360" s="18">
        <v>16105</v>
      </c>
      <c r="G360" s="8">
        <f ca="1">DATEDIF(F360, TODAY(), "Y")</f>
        <v>82</v>
      </c>
      <c r="H360" s="2" t="s">
        <v>476</v>
      </c>
      <c r="I360" s="2" t="s">
        <v>2624</v>
      </c>
      <c r="J360" s="29"/>
      <c r="L360" s="1">
        <v>609197816</v>
      </c>
      <c r="M360" s="30"/>
      <c r="N360" s="31"/>
      <c r="O360" s="35"/>
      <c r="P360" s="65" t="s">
        <v>2625</v>
      </c>
      <c r="Q360" s="65"/>
      <c r="R360" s="67"/>
      <c r="S360" s="67"/>
      <c r="T360" s="67"/>
      <c r="U360" s="2" t="str" cm="1">
        <f t="array" ref="U360">_xlfn.TEXTJOIN(", ", TRUE, IF(Y360:CG360="X", $Y$3:$CG$3, ""))</f>
        <v/>
      </c>
      <c r="V360" s="18" t="str" cm="1">
        <f t="array" ref="V360">_xlfn.TEXTJOIN(", ", TRUE, IF(Y360:CG360="X", $Y$2:$CG$2, ""))</f>
        <v/>
      </c>
      <c r="W360" s="2" t="str" cm="1">
        <f t="array" ref="W360">_xlfn.TEXTJOIN(", ", TRUE, IF(CH360:CS360="X", $CH$3:$CS$3, ""))</f>
        <v/>
      </c>
      <c r="X360" s="2" t="str" cm="1">
        <f t="array" ref="X360">_xlfn.TEXTJOIN(", ", TRUE, IF(CT360:CX360="X", $CT$3:$CX$3, ""))</f>
        <v/>
      </c>
    </row>
    <row r="361" spans="1:102" ht="18.75" customHeight="1" x14ac:dyDescent="0.25">
      <c r="A361" s="8">
        <v>334</v>
      </c>
      <c r="B361" s="2" t="s">
        <v>2626</v>
      </c>
      <c r="C361" s="2" t="s">
        <v>2627</v>
      </c>
      <c r="D361" s="29" t="s">
        <v>2628</v>
      </c>
      <c r="E361" s="29" t="s">
        <v>2629</v>
      </c>
      <c r="F361" s="18">
        <v>18013</v>
      </c>
      <c r="G361" s="8">
        <f ca="1">DATEDIF(F361, TODAY(), "Y")</f>
        <v>77</v>
      </c>
      <c r="H361" s="2" t="s">
        <v>476</v>
      </c>
      <c r="I361" s="2" t="s">
        <v>2630</v>
      </c>
      <c r="J361" s="29"/>
      <c r="L361" s="1"/>
      <c r="M361" s="30"/>
      <c r="N361" s="31"/>
      <c r="O361" s="35"/>
      <c r="R361" s="18"/>
      <c r="S361" s="18"/>
      <c r="T361" s="18"/>
      <c r="U361" s="2" t="str" cm="1">
        <f t="array" ref="U361">_xlfn.TEXTJOIN(", ", TRUE, IF(Y361:CG361="X", $Y$3:$CG$3, ""))</f>
        <v/>
      </c>
      <c r="V361" s="18" t="str" cm="1">
        <f t="array" ref="V361">_xlfn.TEXTJOIN(", ", TRUE, IF(Y361:CG361="X", $Y$2:$CG$2, ""))</f>
        <v/>
      </c>
      <c r="W361" s="2" t="str" cm="1">
        <f t="array" ref="W361">_xlfn.TEXTJOIN(", ", TRUE, IF(CH361:CS361="X", $CH$3:$CS$3, ""))</f>
        <v/>
      </c>
      <c r="X361" s="2" t="str" cm="1">
        <f t="array" ref="X361">_xlfn.TEXTJOIN(", ", TRUE, IF(CT361:CX361="X", $CT$3:$CX$3, ""))</f>
        <v/>
      </c>
    </row>
    <row r="362" spans="1:102" ht="18.75" customHeight="1" x14ac:dyDescent="0.25">
      <c r="A362" s="8">
        <v>335</v>
      </c>
      <c r="B362" s="2" t="s">
        <v>2631</v>
      </c>
      <c r="C362" s="2" t="s">
        <v>2632</v>
      </c>
      <c r="D362" s="29" t="s">
        <v>2633</v>
      </c>
      <c r="E362" s="29" t="s">
        <v>2634</v>
      </c>
      <c r="F362" s="18">
        <v>11417</v>
      </c>
      <c r="G362" s="8">
        <f ca="1">DATEDIF(F362, TODAY(), "Y")</f>
        <v>95</v>
      </c>
      <c r="H362" s="2" t="s">
        <v>476</v>
      </c>
      <c r="I362" s="2" t="s">
        <v>2635</v>
      </c>
      <c r="J362" s="29"/>
      <c r="L362" s="1"/>
      <c r="M362" s="30"/>
      <c r="N362" s="31"/>
      <c r="O362" s="35"/>
      <c r="R362" s="67"/>
      <c r="S362" s="67"/>
      <c r="T362" s="67"/>
      <c r="U362" s="2" t="str" cm="1">
        <f t="array" ref="U362">_xlfn.TEXTJOIN(", ", TRUE, IF(Y362:CG362="X", $Y$3:$CG$3, ""))</f>
        <v/>
      </c>
      <c r="V362" s="18" t="str" cm="1">
        <f t="array" ref="V362">_xlfn.TEXTJOIN(", ", TRUE, IF(Y362:CG362="X", $Y$2:$CG$2, ""))</f>
        <v/>
      </c>
      <c r="W362" s="2" t="str" cm="1">
        <f t="array" ref="W362">_xlfn.TEXTJOIN(", ", TRUE, IF(CH362:CS362="X", $CH$3:$CS$3, ""))</f>
        <v/>
      </c>
      <c r="X362" s="2" t="str" cm="1">
        <f t="array" ref="X362">_xlfn.TEXTJOIN(", ", TRUE, IF(CT362:CX362="X", $CT$3:$CX$3, ""))</f>
        <v/>
      </c>
    </row>
    <row r="363" spans="1:102" ht="18.75" customHeight="1" x14ac:dyDescent="0.25">
      <c r="A363" s="8">
        <v>336</v>
      </c>
      <c r="B363" s="2" t="s">
        <v>2636</v>
      </c>
      <c r="C363" s="2" t="s">
        <v>2637</v>
      </c>
      <c r="D363" s="29" t="s">
        <v>2638</v>
      </c>
      <c r="E363" s="29" t="s">
        <v>2639</v>
      </c>
      <c r="F363" s="18">
        <v>21671</v>
      </c>
      <c r="G363" s="8">
        <f ca="1">DATEDIF(F363, TODAY(), "Y")</f>
        <v>67</v>
      </c>
      <c r="H363" s="2" t="s">
        <v>476</v>
      </c>
      <c r="I363" s="2" t="s">
        <v>2640</v>
      </c>
      <c r="J363" s="29"/>
      <c r="L363" s="1">
        <v>685777171</v>
      </c>
      <c r="M363" s="30"/>
      <c r="N363" s="31"/>
      <c r="O363" s="31"/>
      <c r="P363" s="2" t="s">
        <v>2641</v>
      </c>
      <c r="Q363" s="2"/>
      <c r="R363" s="18"/>
      <c r="S363" s="18"/>
      <c r="T363" s="18"/>
      <c r="U363" s="2" t="str" cm="1">
        <f t="array" ref="U363">_xlfn.TEXTJOIN(", ", TRUE, IF(Y363:CG363="X", $Y$3:$CG$3, ""))</f>
        <v/>
      </c>
      <c r="V363" s="18" t="str" cm="1">
        <f t="array" ref="V363">_xlfn.TEXTJOIN(", ", TRUE, IF(Y363:CG363="X", $Y$2:$CG$2, ""))</f>
        <v/>
      </c>
      <c r="W363" s="2" t="str" cm="1">
        <f t="array" ref="W363">_xlfn.TEXTJOIN(", ", TRUE, IF(CH363:CS363="X", $CH$3:$CS$3, ""))</f>
        <v/>
      </c>
      <c r="X363" s="2" t="str" cm="1">
        <f t="array" ref="X363">_xlfn.TEXTJOIN(", ", TRUE, IF(CT363:CX363="X", $CT$3:$CX$3, ""))</f>
        <v/>
      </c>
      <c r="AJ363" s="49"/>
      <c r="AR363" s="49"/>
      <c r="AS363" s="49"/>
      <c r="AZ363" s="49"/>
      <c r="BA363" s="49"/>
      <c r="BD363" s="49"/>
      <c r="BO363" s="49"/>
      <c r="CJ363" s="49"/>
      <c r="CR363" s="49"/>
    </row>
    <row r="364" spans="1:102" ht="18.75" customHeight="1" x14ac:dyDescent="0.25">
      <c r="A364" s="8">
        <v>337</v>
      </c>
      <c r="B364" s="2" t="s">
        <v>2642</v>
      </c>
      <c r="C364" s="2" t="s">
        <v>2643</v>
      </c>
      <c r="D364" s="29" t="s">
        <v>2644</v>
      </c>
      <c r="E364" s="29" t="s">
        <v>2645</v>
      </c>
      <c r="F364" s="18">
        <v>19614</v>
      </c>
      <c r="G364" s="8">
        <f ca="1">DATEDIF(F364, TODAY(), "Y")</f>
        <v>72</v>
      </c>
      <c r="H364" s="2" t="s">
        <v>476</v>
      </c>
      <c r="I364" s="2" t="s">
        <v>2646</v>
      </c>
      <c r="J364" s="29"/>
      <c r="L364" s="1">
        <v>671030859</v>
      </c>
      <c r="M364" s="30"/>
      <c r="N364" s="31"/>
      <c r="O364" s="31"/>
      <c r="P364" s="2" t="s">
        <v>2647</v>
      </c>
      <c r="Q364" s="2"/>
      <c r="R364" s="18"/>
      <c r="S364" s="18"/>
      <c r="T364" s="18"/>
      <c r="U364" s="2" t="str" cm="1">
        <f t="array" ref="U364">_xlfn.TEXTJOIN(", ", TRUE, IF(Y364:CG364="X", $Y$3:$CG$3, ""))</f>
        <v/>
      </c>
      <c r="V364" s="18" t="str" cm="1">
        <f t="array" ref="V364">_xlfn.TEXTJOIN(", ", TRUE, IF(Y364:CG364="X", $Y$2:$CG$2, ""))</f>
        <v/>
      </c>
      <c r="W364" s="2" t="str" cm="1">
        <f t="array" ref="W364">_xlfn.TEXTJOIN(", ", TRUE, IF(CH364:CS364="X", $CH$3:$CS$3, ""))</f>
        <v/>
      </c>
      <c r="X364" s="2" t="str" cm="1">
        <f t="array" ref="X364">_xlfn.TEXTJOIN(", ", TRUE, IF(CT364:CX364="X", $CT$3:$CX$3, ""))</f>
        <v/>
      </c>
    </row>
    <row r="365" spans="1:102" ht="18.75" customHeight="1" x14ac:dyDescent="0.25">
      <c r="A365" s="8">
        <v>338</v>
      </c>
      <c r="B365" s="2" t="s">
        <v>2648</v>
      </c>
      <c r="C365" s="2" t="s">
        <v>2649</v>
      </c>
      <c r="D365" s="29" t="s">
        <v>2650</v>
      </c>
      <c r="E365" s="29" t="s">
        <v>2651</v>
      </c>
      <c r="F365" s="18">
        <v>18880</v>
      </c>
      <c r="G365" s="8">
        <f ca="1">DATEDIF(F365, TODAY(), "Y")</f>
        <v>74</v>
      </c>
      <c r="H365" s="2" t="s">
        <v>476</v>
      </c>
      <c r="I365" s="2" t="s">
        <v>2652</v>
      </c>
      <c r="J365" s="29"/>
      <c r="L365" s="1">
        <v>663091918</v>
      </c>
      <c r="M365" s="30"/>
      <c r="N365" s="31"/>
      <c r="O365" s="35"/>
      <c r="P365" s="65" t="s">
        <v>2653</v>
      </c>
      <c r="Q365" s="65"/>
      <c r="R365" s="18"/>
      <c r="S365" s="18"/>
      <c r="T365" s="18"/>
      <c r="U365" s="2" t="str" cm="1">
        <f t="array" ref="U365">_xlfn.TEXTJOIN(", ", TRUE, IF(Y365:CG365="X", $Y$3:$CG$3, ""))</f>
        <v/>
      </c>
      <c r="V365" s="18" t="str" cm="1">
        <f t="array" ref="V365">_xlfn.TEXTJOIN(", ", TRUE, IF(Y365:CG365="X", $Y$2:$CG$2, ""))</f>
        <v/>
      </c>
      <c r="W365" s="2" t="str" cm="1">
        <f t="array" ref="W365">_xlfn.TEXTJOIN(", ", TRUE, IF(CH365:CS365="X", $CH$3:$CS$3, ""))</f>
        <v/>
      </c>
      <c r="X365" s="2" t="str" cm="1">
        <f t="array" ref="X365">_xlfn.TEXTJOIN(", ", TRUE, IF(CT365:CX365="X", $CT$3:$CX$3, ""))</f>
        <v/>
      </c>
    </row>
    <row r="366" spans="1:102" ht="18.75" customHeight="1" x14ac:dyDescent="0.25">
      <c r="A366" s="8">
        <v>339</v>
      </c>
      <c r="B366" s="2" t="s">
        <v>2654</v>
      </c>
      <c r="C366" s="2" t="s">
        <v>2655</v>
      </c>
      <c r="D366" s="29" t="s">
        <v>2656</v>
      </c>
      <c r="E366" s="29" t="s">
        <v>2657</v>
      </c>
      <c r="F366" s="18">
        <v>21530</v>
      </c>
      <c r="G366" s="8">
        <f ca="1">DATEDIF(F366, TODAY(), "Y")</f>
        <v>67</v>
      </c>
      <c r="H366" s="2" t="s">
        <v>476</v>
      </c>
      <c r="I366" s="2" t="s">
        <v>2658</v>
      </c>
      <c r="J366" s="29"/>
      <c r="L366" s="1">
        <v>674637469</v>
      </c>
      <c r="M366" s="30"/>
      <c r="N366" s="31"/>
      <c r="O366" s="31"/>
      <c r="P366" s="2" t="s">
        <v>2659</v>
      </c>
      <c r="Q366" s="2"/>
      <c r="R366" s="18"/>
      <c r="S366" s="18"/>
      <c r="T366" s="18"/>
      <c r="U366" s="2" t="str" cm="1">
        <f t="array" ref="U366">_xlfn.TEXTJOIN(", ", TRUE, IF(Y366:CG366="X", $Y$3:$CG$3, ""))</f>
        <v/>
      </c>
      <c r="V366" s="18" t="str" cm="1">
        <f t="array" ref="V366">_xlfn.TEXTJOIN(", ", TRUE, IF(Y366:CG366="X", $Y$2:$CG$2, ""))</f>
        <v/>
      </c>
      <c r="W366" s="2" t="str" cm="1">
        <f t="array" ref="W366">_xlfn.TEXTJOIN(", ", TRUE, IF(CH366:CS366="X", $CH$3:$CS$3, ""))</f>
        <v/>
      </c>
      <c r="X366" s="2" t="str" cm="1">
        <f t="array" ref="X366">_xlfn.TEXTJOIN(", ", TRUE, IF(CT366:CX366="X", $CT$3:$CX$3, ""))</f>
        <v/>
      </c>
    </row>
    <row r="367" spans="1:102" ht="18.75" customHeight="1" x14ac:dyDescent="0.25">
      <c r="A367" s="8">
        <v>340</v>
      </c>
      <c r="B367" s="2" t="s">
        <v>2660</v>
      </c>
      <c r="C367" s="2" t="s">
        <v>2293</v>
      </c>
      <c r="D367" s="29" t="s">
        <v>2661</v>
      </c>
      <c r="E367" s="29" t="s">
        <v>2662</v>
      </c>
      <c r="F367" s="18">
        <v>12135</v>
      </c>
      <c r="G367" s="8">
        <f ca="1">DATEDIF(F367, TODAY(), "Y")</f>
        <v>93</v>
      </c>
      <c r="H367" s="2" t="s">
        <v>476</v>
      </c>
      <c r="I367" s="2" t="s">
        <v>1642</v>
      </c>
      <c r="J367" s="29"/>
      <c r="L367" s="1">
        <v>605770946</v>
      </c>
      <c r="M367" s="30"/>
      <c r="N367" s="31"/>
      <c r="O367" s="31"/>
      <c r="P367" s="2" t="s">
        <v>2663</v>
      </c>
      <c r="Q367" s="2"/>
      <c r="R367" s="18"/>
      <c r="S367" s="18"/>
      <c r="T367" s="18"/>
      <c r="U367" s="2" t="str" cm="1">
        <f t="array" ref="U367">_xlfn.TEXTJOIN(", ", TRUE, IF(Y367:CG367="X", $Y$3:$CG$3, ""))</f>
        <v/>
      </c>
      <c r="V367" s="18" t="str" cm="1">
        <f t="array" ref="V367">_xlfn.TEXTJOIN(", ", TRUE, IF(Y367:CG367="X", $Y$2:$CG$2, ""))</f>
        <v/>
      </c>
      <c r="W367" s="2" t="str" cm="1">
        <f t="array" ref="W367">_xlfn.TEXTJOIN(", ", TRUE, IF(CH367:CS367="X", $CH$3:$CS$3, ""))</f>
        <v/>
      </c>
      <c r="X367" s="2" t="str" cm="1">
        <f t="array" ref="X367">_xlfn.TEXTJOIN(", ", TRUE, IF(CT367:CX367="X", $CT$3:$CX$3, ""))</f>
        <v/>
      </c>
    </row>
    <row r="368" spans="1:102" ht="18.75" customHeight="1" x14ac:dyDescent="0.25">
      <c r="A368" s="8">
        <v>341</v>
      </c>
      <c r="B368" s="2" t="s">
        <v>2664</v>
      </c>
      <c r="C368" s="2" t="s">
        <v>2665</v>
      </c>
      <c r="D368" s="29" t="s">
        <v>2666</v>
      </c>
      <c r="E368" s="29" t="s">
        <v>2667</v>
      </c>
      <c r="F368" s="18">
        <v>16223</v>
      </c>
      <c r="G368" s="8">
        <f ca="1">DATEDIF(F368, TODAY(), "Y")</f>
        <v>82</v>
      </c>
      <c r="H368" s="2" t="s">
        <v>476</v>
      </c>
      <c r="I368" s="2" t="s">
        <v>2668</v>
      </c>
      <c r="J368" s="29"/>
      <c r="L368" s="1">
        <v>943724513</v>
      </c>
      <c r="M368" s="30"/>
      <c r="N368" s="31"/>
      <c r="O368" s="35"/>
      <c r="P368" s="65" t="s">
        <v>2669</v>
      </c>
      <c r="Q368" s="65"/>
      <c r="R368" s="18"/>
      <c r="S368" s="18"/>
      <c r="T368" s="18"/>
      <c r="U368" s="2" t="str" cm="1">
        <f t="array" ref="U368">_xlfn.TEXTJOIN(", ", TRUE, IF(Y368:CG368="X", $Y$3:$CG$3, ""))</f>
        <v/>
      </c>
      <c r="V368" s="18" t="str" cm="1">
        <f t="array" ref="V368">_xlfn.TEXTJOIN(", ", TRUE, IF(Y368:CG368="X", $Y$2:$CG$2, ""))</f>
        <v/>
      </c>
      <c r="W368" s="2" t="str" cm="1">
        <f t="array" ref="W368">_xlfn.TEXTJOIN(", ", TRUE, IF(CH368:CS368="X", $CH$3:$CS$3, ""))</f>
        <v/>
      </c>
      <c r="X368" s="2" t="str" cm="1">
        <f t="array" ref="X368">_xlfn.TEXTJOIN(", ", TRUE, IF(CT368:CX368="X", $CT$3:$CX$3, ""))</f>
        <v/>
      </c>
    </row>
    <row r="369" spans="1:98" ht="18.75" customHeight="1" x14ac:dyDescent="0.25">
      <c r="A369" s="8">
        <v>343</v>
      </c>
      <c r="B369" s="2" t="s">
        <v>2678</v>
      </c>
      <c r="C369" s="2" t="s">
        <v>2679</v>
      </c>
      <c r="D369" s="29" t="s">
        <v>2680</v>
      </c>
      <c r="E369" s="29" t="s">
        <v>2681</v>
      </c>
      <c r="F369" s="18">
        <v>23257</v>
      </c>
      <c r="G369" s="8">
        <f ca="1">DATEDIF(F369, TODAY(), "Y")</f>
        <v>62</v>
      </c>
      <c r="H369" s="2" t="s">
        <v>476</v>
      </c>
      <c r="I369" s="2" t="s">
        <v>2682</v>
      </c>
      <c r="J369" s="29"/>
      <c r="L369" s="1">
        <v>658736587</v>
      </c>
      <c r="M369" s="30"/>
      <c r="N369" s="31"/>
      <c r="O369" s="35"/>
      <c r="P369" s="65" t="s">
        <v>2683</v>
      </c>
      <c r="Q369" s="65"/>
      <c r="R369" s="18"/>
      <c r="S369" s="18"/>
      <c r="T369" s="18"/>
      <c r="U369" s="2" t="str" cm="1">
        <f t="array" ref="U369">_xlfn.TEXTJOIN(", ", TRUE, IF(Y369:CG369="X", $Y$3:$CG$3, ""))</f>
        <v/>
      </c>
      <c r="V369" s="18" t="str" cm="1">
        <f t="array" ref="V369">_xlfn.TEXTJOIN(", ", TRUE, IF(Y369:CG369="X", $Y$2:$CG$2, ""))</f>
        <v/>
      </c>
      <c r="W369" s="2" t="str" cm="1">
        <f t="array" ref="W369">_xlfn.TEXTJOIN(", ", TRUE, IF(CH369:CS369="X", $CH$3:$CS$3, ""))</f>
        <v/>
      </c>
      <c r="X369" s="2" t="str" cm="1">
        <f t="array" ref="X369">_xlfn.TEXTJOIN(", ", TRUE, IF(CT369:CX369="X", $CT$3:$CX$3, ""))</f>
        <v/>
      </c>
    </row>
    <row r="370" spans="1:98" ht="18.75" customHeight="1" x14ac:dyDescent="0.25">
      <c r="A370" s="8">
        <v>348</v>
      </c>
      <c r="B370" s="2" t="s">
        <v>2706</v>
      </c>
      <c r="C370" s="2" t="s">
        <v>2707</v>
      </c>
      <c r="D370" s="29" t="s">
        <v>2708</v>
      </c>
      <c r="E370" s="29" t="s">
        <v>2709</v>
      </c>
      <c r="F370" s="18">
        <v>24144</v>
      </c>
      <c r="G370" s="8">
        <f ca="1">DATEDIF(F370, TODAY(), "Y")</f>
        <v>60</v>
      </c>
      <c r="H370" s="2" t="s">
        <v>476</v>
      </c>
      <c r="I370" s="2" t="s">
        <v>2710</v>
      </c>
      <c r="J370" s="29"/>
      <c r="L370" s="1">
        <v>658713994</v>
      </c>
      <c r="M370" s="30"/>
      <c r="N370" s="31"/>
      <c r="O370" s="35"/>
      <c r="P370" s="65" t="s">
        <v>2711</v>
      </c>
      <c r="Q370" s="65" t="s">
        <v>3020</v>
      </c>
      <c r="R370" s="2" t="s">
        <v>772</v>
      </c>
      <c r="S370" s="2"/>
      <c r="T370" s="2"/>
      <c r="U370" s="2" t="str" cm="1">
        <f t="array" ref="U370">_xlfn.TEXTJOIN(", ", TRUE, IF(Y370:CG370="X", $Y$3:$CG$3, ""))</f>
        <v>Ardi esnea, Ardi haragia</v>
      </c>
      <c r="V370" s="18" t="str" cm="1">
        <f t="array" ref="V370">_xlfn.TEXTJOIN(", ", TRUE, IF(Y370:CG370="X", $Y$2:$CG$2, ""))</f>
        <v>ESNEKIAK, HARAGIA</v>
      </c>
      <c r="W370" s="2" t="str" cm="1">
        <f t="array" ref="W370">_xlfn.TEXTJOIN(", ", TRUE, IF(CH370:CS370="X", $CH$3:$CS$3, ""))</f>
        <v/>
      </c>
      <c r="X370" s="2" t="str" cm="1">
        <f t="array" ref="X370">_xlfn.TEXTJOIN(", ", TRUE, IF(CT370:CX370="X", $CT$3:$CX$3, ""))</f>
        <v/>
      </c>
      <c r="Z370" s="65" t="s">
        <v>764</v>
      </c>
      <c r="AK370" s="65" t="s">
        <v>764</v>
      </c>
    </row>
    <row r="371" spans="1:98" ht="18.75" customHeight="1" x14ac:dyDescent="0.25">
      <c r="A371" s="8">
        <v>349</v>
      </c>
      <c r="B371" s="2" t="s">
        <v>2712</v>
      </c>
      <c r="C371" s="2" t="s">
        <v>2713</v>
      </c>
      <c r="D371" s="29" t="s">
        <v>2714</v>
      </c>
      <c r="E371" s="29" t="s">
        <v>2715</v>
      </c>
      <c r="F371" s="18">
        <v>22802</v>
      </c>
      <c r="G371" s="8">
        <f ca="1">DATEDIF(F371, TODAY(), "Y")</f>
        <v>64</v>
      </c>
      <c r="H371" s="2" t="s">
        <v>476</v>
      </c>
      <c r="I371" s="2" t="s">
        <v>1272</v>
      </c>
      <c r="J371" s="29"/>
      <c r="L371" s="1">
        <v>606376022</v>
      </c>
      <c r="M371" s="30"/>
      <c r="N371" s="31"/>
      <c r="O371" s="35"/>
      <c r="P371" s="65" t="s">
        <v>2716</v>
      </c>
      <c r="Q371" s="65"/>
      <c r="R371" s="18"/>
      <c r="S371" s="18"/>
      <c r="T371" s="18"/>
      <c r="U371" s="2" t="str" cm="1">
        <f t="array" ref="U371">_xlfn.TEXTJOIN(", ", TRUE, IF(Y371:CG371="X", $Y$3:$CG$3, ""))</f>
        <v/>
      </c>
      <c r="V371" s="18" t="str" cm="1">
        <f t="array" ref="V371">_xlfn.TEXTJOIN(", ", TRUE, IF(Y371:CG371="X", $Y$2:$CG$2, ""))</f>
        <v/>
      </c>
      <c r="W371" s="2" t="str" cm="1">
        <f t="array" ref="W371">_xlfn.TEXTJOIN(", ", TRUE, IF(CH371:CS371="X", $CH$3:$CS$3, ""))</f>
        <v/>
      </c>
      <c r="X371" s="2" t="str" cm="1">
        <f t="array" ref="X371">_xlfn.TEXTJOIN(", ", TRUE, IF(CT371:CX371="X", $CT$3:$CX$3, ""))</f>
        <v/>
      </c>
    </row>
    <row r="372" spans="1:98" ht="18.75" customHeight="1" x14ac:dyDescent="0.25">
      <c r="A372" s="8">
        <v>350</v>
      </c>
      <c r="B372" s="2" t="s">
        <v>2717</v>
      </c>
      <c r="C372" s="2" t="s">
        <v>2718</v>
      </c>
      <c r="D372" s="29" t="s">
        <v>2719</v>
      </c>
      <c r="E372" s="29" t="s">
        <v>2720</v>
      </c>
      <c r="F372" s="18">
        <v>15385</v>
      </c>
      <c r="G372" s="8">
        <f ca="1">DATEDIF(F372, TODAY(), "Y")</f>
        <v>84</v>
      </c>
      <c r="H372" s="2" t="s">
        <v>476</v>
      </c>
      <c r="I372" s="2" t="s">
        <v>2721</v>
      </c>
      <c r="J372" s="29"/>
      <c r="L372" s="1">
        <v>630149147</v>
      </c>
      <c r="M372" s="30"/>
      <c r="N372" s="31"/>
      <c r="O372" s="35"/>
      <c r="P372" s="65" t="s">
        <v>2722</v>
      </c>
      <c r="Q372" s="65"/>
      <c r="R372" s="67"/>
      <c r="S372" s="67"/>
      <c r="T372" s="67"/>
      <c r="U372" s="2" t="str" cm="1">
        <f t="array" ref="U372">_xlfn.TEXTJOIN(", ", TRUE, IF(Y372:CG372="X", $Y$3:$CG$3, ""))</f>
        <v/>
      </c>
      <c r="V372" s="18" t="str" cm="1">
        <f t="array" ref="V372">_xlfn.TEXTJOIN(", ", TRUE, IF(Y372:CG372="X", $Y$2:$CG$2, ""))</f>
        <v/>
      </c>
      <c r="W372" s="2" t="str" cm="1">
        <f t="array" ref="W372">_xlfn.TEXTJOIN(", ", TRUE, IF(CH372:CS372="X", $CH$3:$CS$3, ""))</f>
        <v/>
      </c>
      <c r="X372" s="2" t="str" cm="1">
        <f t="array" ref="X372">_xlfn.TEXTJOIN(", ", TRUE, IF(CT372:CX372="X", $CT$3:$CX$3, ""))</f>
        <v/>
      </c>
    </row>
    <row r="373" spans="1:98" ht="18.75" customHeight="1" x14ac:dyDescent="0.25">
      <c r="A373" s="8">
        <v>351</v>
      </c>
      <c r="B373" s="2" t="s">
        <v>2723</v>
      </c>
      <c r="C373" s="2" t="s">
        <v>2724</v>
      </c>
      <c r="D373" s="29" t="s">
        <v>2725</v>
      </c>
      <c r="E373" s="29" t="s">
        <v>2726</v>
      </c>
      <c r="F373" s="18">
        <v>26455</v>
      </c>
      <c r="G373" s="8">
        <f ca="1">DATEDIF(F373, TODAY(), "Y")</f>
        <v>54</v>
      </c>
      <c r="H373" s="2" t="s">
        <v>476</v>
      </c>
      <c r="I373" s="2" t="s">
        <v>2727</v>
      </c>
      <c r="J373" s="29"/>
      <c r="L373" s="1" t="s">
        <v>2728</v>
      </c>
      <c r="M373" s="30"/>
      <c r="N373" s="31"/>
      <c r="O373" s="35"/>
      <c r="P373" s="65" t="s">
        <v>2729</v>
      </c>
      <c r="Q373" s="65" t="s">
        <v>3020</v>
      </c>
      <c r="R373" s="65" t="s">
        <v>1216</v>
      </c>
      <c r="S373" s="65"/>
      <c r="T373" s="65"/>
      <c r="U373" s="2" t="str" cm="1">
        <f t="array" ref="U373">_xlfn.TEXTJOIN(", ", TRUE, IF(Y373:CG373="X", $Y$3:$CG$3, ""))</f>
        <v>Ardi haragia, Untxi haragia, Ahuntz haragia, Arrautzak</v>
      </c>
      <c r="V373" s="18" t="str" cm="1">
        <f t="array" ref="V373">_xlfn.TEXTJOIN(", ", TRUE, IF(Y373:CG373="X", $Y$2:$CG$2, ""))</f>
        <v>HARAGIA, HARAGIA, HARAGIA, OILOAK</v>
      </c>
      <c r="W373" s="2" t="str" cm="1">
        <f t="array" ref="W373">_xlfn.TEXTJOIN(", ", TRUE, IF(CH373:CS373="X", $CH$3:$CS$3, ""))</f>
        <v>Etxetik, Dendetan, Harategian, Bertatik Bertara</v>
      </c>
      <c r="X373" s="2" t="str" cm="1">
        <f t="array" ref="X373">_xlfn.TEXTJOIN(", ", TRUE, IF(CT373:CX373="X", $CT$3:$CX$3, ""))</f>
        <v/>
      </c>
      <c r="AK373" s="65" t="s">
        <v>764</v>
      </c>
      <c r="AO373" s="65" t="s">
        <v>764</v>
      </c>
      <c r="AP373" s="65" t="s">
        <v>764</v>
      </c>
      <c r="AR373" s="65" t="s">
        <v>764</v>
      </c>
      <c r="CI373" s="65" t="s">
        <v>764</v>
      </c>
      <c r="CJ373" s="65" t="s">
        <v>764</v>
      </c>
      <c r="CL373" s="65" t="s">
        <v>764</v>
      </c>
      <c r="CR373" s="65" t="s">
        <v>764</v>
      </c>
    </row>
    <row r="374" spans="1:98" ht="18.75" customHeight="1" x14ac:dyDescent="0.25">
      <c r="A374" s="8">
        <v>353</v>
      </c>
      <c r="B374" s="2" t="s">
        <v>2730</v>
      </c>
      <c r="C374" s="2" t="s">
        <v>2731</v>
      </c>
      <c r="D374" s="29" t="s">
        <v>2732</v>
      </c>
      <c r="E374" s="29" t="s">
        <v>2733</v>
      </c>
      <c r="F374" s="18"/>
      <c r="G374" s="8">
        <f ca="1">DATEDIF(F374, TODAY(), "Y")</f>
        <v>126</v>
      </c>
      <c r="H374" s="2" t="s">
        <v>803</v>
      </c>
      <c r="I374" s="2" t="s">
        <v>2734</v>
      </c>
      <c r="J374" s="29"/>
      <c r="L374" s="1"/>
      <c r="M374" s="30"/>
      <c r="N374" s="31"/>
      <c r="O374" s="35"/>
      <c r="R374" s="49"/>
      <c r="S374" s="49"/>
      <c r="T374" s="49"/>
      <c r="U374" s="2" t="str" cm="1">
        <f t="array" ref="U374">_xlfn.TEXTJOIN(", ", TRUE, IF(Y374:CG374="X", $Y$3:$CG$3, ""))</f>
        <v/>
      </c>
      <c r="V374" s="18" t="str" cm="1">
        <f t="array" ref="V374">_xlfn.TEXTJOIN(", ", TRUE, IF(Y374:CG374="X", $Y$2:$CG$2, ""))</f>
        <v/>
      </c>
      <c r="W374" s="2" t="str" cm="1">
        <f t="array" ref="W374">_xlfn.TEXTJOIN(", ", TRUE, IF(CH374:CS374="X", $CH$3:$CS$3, ""))</f>
        <v/>
      </c>
      <c r="X374" s="2" t="str" cm="1">
        <f t="array" ref="X374">_xlfn.TEXTJOIN(", ", TRUE, IF(CT374:CX374="X", $CT$3:$CX$3, ""))</f>
        <v/>
      </c>
    </row>
    <row r="375" spans="1:98" ht="18.75" customHeight="1" x14ac:dyDescent="0.25">
      <c r="A375" s="8">
        <v>354</v>
      </c>
      <c r="B375" s="2" t="s">
        <v>2730</v>
      </c>
      <c r="C375" s="2" t="s">
        <v>2731</v>
      </c>
      <c r="D375" s="29" t="s">
        <v>2732</v>
      </c>
      <c r="E375" s="29" t="s">
        <v>2733</v>
      </c>
      <c r="F375" s="18">
        <v>26114</v>
      </c>
      <c r="G375" s="8">
        <f ca="1">DATEDIF(F375, TODAY(), "Y")</f>
        <v>55</v>
      </c>
      <c r="H375" s="2" t="s">
        <v>803</v>
      </c>
      <c r="I375" s="2" t="s">
        <v>2735</v>
      </c>
      <c r="J375" s="29"/>
      <c r="K375" s="3" t="s">
        <v>3043</v>
      </c>
      <c r="L375" s="1">
        <v>699672575</v>
      </c>
      <c r="M375" s="30"/>
      <c r="N375" s="31"/>
      <c r="O375" s="31"/>
      <c r="P375" s="2" t="s">
        <v>2736</v>
      </c>
      <c r="Q375" s="2" t="s">
        <v>3020</v>
      </c>
      <c r="R375" s="2" t="s">
        <v>772</v>
      </c>
      <c r="S375" s="2"/>
      <c r="T375" s="2"/>
      <c r="U375" s="2" t="str" cm="1">
        <f t="array" ref="U375">_xlfn.TEXTJOIN(", ", TRUE, IF(Y375:CG375="X", $Y$3:$CG$3, ""))</f>
        <v>Eztia, Polena, Propoleoa</v>
      </c>
      <c r="V375" s="18" t="str" cm="1">
        <f t="array" ref="V375">_xlfn.TEXTJOIN(", ", TRUE, IF(Y375:CG375="X", $Y$2:$CG$2, ""))</f>
        <v>ERLEAK, ERLEAK, ERLEAK</v>
      </c>
      <c r="W375" s="2" t="str" cm="1">
        <f t="array" ref="W375">_xlfn.TEXTJOIN(", ", TRUE, IF(CH375:CS375="X", $CH$3:$CS$3, ""))</f>
        <v>Azokak, Etxetik, Dendetan, Kontsumo taldeak, Biziola</v>
      </c>
      <c r="X375" s="2" t="str" cm="1">
        <f t="array" ref="X375">_xlfn.TEXTJOIN(", ", TRUE, IF(CT375:CX375="X", $CT$3:$CX$3, ""))</f>
        <v>Ekologikoa</v>
      </c>
      <c r="BA375" s="65" t="s">
        <v>764</v>
      </c>
      <c r="BB375" s="65" t="s">
        <v>764</v>
      </c>
      <c r="BC375" s="65" t="s">
        <v>764</v>
      </c>
      <c r="CH375" s="65" t="s">
        <v>764</v>
      </c>
      <c r="CI375" s="65" t="s">
        <v>764</v>
      </c>
      <c r="CJ375" s="65" t="s">
        <v>764</v>
      </c>
      <c r="CM375" s="65" t="s">
        <v>764</v>
      </c>
      <c r="CP375" s="65" t="s">
        <v>764</v>
      </c>
      <c r="CQ375" s="65"/>
      <c r="CT375" s="65" t="s">
        <v>764</v>
      </c>
    </row>
    <row r="376" spans="1:98" ht="18.75" customHeight="1" x14ac:dyDescent="0.25">
      <c r="A376" s="8">
        <v>355</v>
      </c>
      <c r="B376" s="2" t="s">
        <v>2730</v>
      </c>
      <c r="C376" s="2" t="s">
        <v>2731</v>
      </c>
      <c r="D376" s="29" t="s">
        <v>2732</v>
      </c>
      <c r="E376" s="29" t="s">
        <v>2733</v>
      </c>
      <c r="F376" s="18">
        <v>24648</v>
      </c>
      <c r="G376" s="8">
        <f ca="1">DATEDIF(F376, TODAY(), "Y")</f>
        <v>59</v>
      </c>
      <c r="H376" s="2" t="s">
        <v>803</v>
      </c>
      <c r="I376" s="2" t="s">
        <v>2737</v>
      </c>
      <c r="J376" s="29"/>
      <c r="L376" s="1"/>
      <c r="M376" s="30"/>
      <c r="N376" s="31"/>
      <c r="O376" s="35"/>
      <c r="R376" s="18"/>
      <c r="S376" s="18"/>
      <c r="T376" s="18"/>
      <c r="U376" s="2" t="str" cm="1">
        <f t="array" ref="U376">_xlfn.TEXTJOIN(", ", TRUE, IF(Y376:CG376="X", $Y$3:$CG$3, ""))</f>
        <v/>
      </c>
      <c r="V376" s="18" t="str" cm="1">
        <f t="array" ref="V376">_xlfn.TEXTJOIN(", ", TRUE, IF(Y376:CG376="X", $Y$2:$CG$2, ""))</f>
        <v/>
      </c>
      <c r="W376" s="2" t="str" cm="1">
        <f t="array" ref="W376">_xlfn.TEXTJOIN(", ", TRUE, IF(CH376:CS376="X", $CH$3:$CS$3, ""))</f>
        <v/>
      </c>
      <c r="X376" s="2" t="str" cm="1">
        <f t="array" ref="X376">_xlfn.TEXTJOIN(", ", TRUE, IF(CT376:CX376="X", $CT$3:$CX$3, ""))</f>
        <v/>
      </c>
    </row>
    <row r="377" spans="1:98" ht="18.75" customHeight="1" x14ac:dyDescent="0.25">
      <c r="A377" s="8">
        <v>356</v>
      </c>
      <c r="B377" s="2" t="s">
        <v>2738</v>
      </c>
      <c r="C377" s="2" t="s">
        <v>2739</v>
      </c>
      <c r="D377" s="29" t="s">
        <v>2740</v>
      </c>
      <c r="E377" s="29" t="s">
        <v>2741</v>
      </c>
      <c r="F377" s="18">
        <v>36548</v>
      </c>
      <c r="G377" s="8">
        <f ca="1">DATEDIF(F377, TODAY(), "Y")</f>
        <v>26</v>
      </c>
      <c r="H377" s="2" t="s">
        <v>457</v>
      </c>
      <c r="I377" s="2" t="s">
        <v>2742</v>
      </c>
      <c r="J377" s="29"/>
      <c r="L377" s="1"/>
      <c r="M377" s="30"/>
      <c r="N377" s="31"/>
      <c r="O377" s="35"/>
      <c r="R377" s="67"/>
      <c r="S377" s="67"/>
      <c r="T377" s="67"/>
      <c r="U377" s="2" t="str" cm="1">
        <f t="array" ref="U377">_xlfn.TEXTJOIN(", ", TRUE, IF(Y377:CG377="X", $Y$3:$CG$3, ""))</f>
        <v/>
      </c>
      <c r="V377" s="18" t="str" cm="1">
        <f t="array" ref="V377">_xlfn.TEXTJOIN(", ", TRUE, IF(Y377:CG377="X", $Y$2:$CG$2, ""))</f>
        <v/>
      </c>
      <c r="W377" s="2" t="str" cm="1">
        <f t="array" ref="W377">_xlfn.TEXTJOIN(", ", TRUE, IF(CH377:CS377="X", $CH$3:$CS$3, ""))</f>
        <v/>
      </c>
      <c r="X377" s="2" t="str" cm="1">
        <f t="array" ref="X377">_xlfn.TEXTJOIN(", ", TRUE, IF(CT377:CX377="X", $CT$3:$CX$3, ""))</f>
        <v/>
      </c>
    </row>
    <row r="378" spans="1:98" ht="18.75" customHeight="1" x14ac:dyDescent="0.25">
      <c r="A378" s="8">
        <v>357</v>
      </c>
      <c r="B378" s="2" t="s">
        <v>2738</v>
      </c>
      <c r="C378" s="2" t="s">
        <v>2739</v>
      </c>
      <c r="D378" s="29" t="s">
        <v>2740</v>
      </c>
      <c r="E378" s="29" t="s">
        <v>2741</v>
      </c>
      <c r="F378" s="18"/>
      <c r="G378" s="8">
        <f ca="1">DATEDIF(F378, TODAY(), "Y")</f>
        <v>126</v>
      </c>
      <c r="H378" s="2" t="s">
        <v>457</v>
      </c>
      <c r="I378" s="2" t="s">
        <v>2743</v>
      </c>
      <c r="J378" s="29"/>
      <c r="L378" s="1"/>
      <c r="M378" s="30"/>
      <c r="N378" s="31"/>
      <c r="O378" s="31"/>
      <c r="P378" s="49"/>
      <c r="Q378" s="49"/>
      <c r="R378" s="49"/>
      <c r="S378" s="49"/>
      <c r="T378" s="49"/>
      <c r="U378" s="2" t="str" cm="1">
        <f t="array" ref="U378">_xlfn.TEXTJOIN(", ", TRUE, IF(Y378:CG378="X", $Y$3:$CG$3, ""))</f>
        <v/>
      </c>
      <c r="V378" s="18" t="str" cm="1">
        <f t="array" ref="V378">_xlfn.TEXTJOIN(", ", TRUE, IF(Y378:CG378="X", $Y$2:$CG$2, ""))</f>
        <v/>
      </c>
      <c r="W378" s="2" t="str" cm="1">
        <f t="array" ref="W378">_xlfn.TEXTJOIN(", ", TRUE, IF(CH378:CS378="X", $CH$3:$CS$3, ""))</f>
        <v/>
      </c>
      <c r="X378" s="2" t="str" cm="1">
        <f t="array" ref="X378">_xlfn.TEXTJOIN(", ", TRUE, IF(CT378:CX378="X", $CT$3:$CX$3, ""))</f>
        <v/>
      </c>
    </row>
    <row r="379" spans="1:98" ht="18.75" customHeight="1" x14ac:dyDescent="0.25">
      <c r="A379" s="8">
        <v>358</v>
      </c>
      <c r="B379" s="2" t="s">
        <v>2730</v>
      </c>
      <c r="C379" s="2" t="s">
        <v>2731</v>
      </c>
      <c r="D379" s="29" t="s">
        <v>2732</v>
      </c>
      <c r="E379" s="29" t="s">
        <v>2733</v>
      </c>
      <c r="F379" s="18">
        <v>12105</v>
      </c>
      <c r="G379" s="8">
        <f ca="1">DATEDIF(F379, TODAY(), "Y")</f>
        <v>93</v>
      </c>
      <c r="H379" s="2" t="s">
        <v>803</v>
      </c>
      <c r="I379" s="2" t="s">
        <v>2744</v>
      </c>
      <c r="J379" s="29"/>
      <c r="L379" s="1">
        <v>630975344</v>
      </c>
      <c r="M379" s="30"/>
      <c r="N379" s="31"/>
      <c r="O379" s="31"/>
      <c r="P379" s="2" t="s">
        <v>2745</v>
      </c>
      <c r="Q379" s="2"/>
      <c r="R379" s="18"/>
      <c r="S379" s="18"/>
      <c r="T379" s="18"/>
      <c r="U379" s="2" t="str" cm="1">
        <f t="array" ref="U379">_xlfn.TEXTJOIN(", ", TRUE, IF(Y379:CG379="X", $Y$3:$CG$3, ""))</f>
        <v/>
      </c>
      <c r="V379" s="18" t="str" cm="1">
        <f t="array" ref="V379">_xlfn.TEXTJOIN(", ", TRUE, IF(Y379:CG379="X", $Y$2:$CG$2, ""))</f>
        <v/>
      </c>
      <c r="W379" s="2" t="str" cm="1">
        <f t="array" ref="W379">_xlfn.TEXTJOIN(", ", TRUE, IF(CH379:CS379="X", $CH$3:$CS$3, ""))</f>
        <v/>
      </c>
      <c r="X379" s="2" t="str" cm="1">
        <f t="array" ref="X379">_xlfn.TEXTJOIN(", ", TRUE, IF(CT379:CX379="X", $CT$3:$CX$3, ""))</f>
        <v/>
      </c>
    </row>
    <row r="380" spans="1:98" ht="18.75" customHeight="1" x14ac:dyDescent="0.25">
      <c r="A380" s="8">
        <v>359</v>
      </c>
      <c r="B380" s="2" t="s">
        <v>2738</v>
      </c>
      <c r="C380" s="2" t="s">
        <v>2739</v>
      </c>
      <c r="D380" s="29" t="s">
        <v>2740</v>
      </c>
      <c r="E380" s="29" t="s">
        <v>2741</v>
      </c>
      <c r="F380" s="18"/>
      <c r="G380" s="8">
        <f ca="1">DATEDIF(F380, TODAY(), "Y")</f>
        <v>126</v>
      </c>
      <c r="H380" s="2" t="s">
        <v>457</v>
      </c>
      <c r="I380" s="2" t="s">
        <v>2746</v>
      </c>
      <c r="J380" s="29"/>
      <c r="L380" s="1"/>
      <c r="M380" s="30"/>
      <c r="N380" s="31"/>
      <c r="O380" s="31"/>
      <c r="P380" s="49"/>
      <c r="Q380" s="49"/>
      <c r="R380" s="49"/>
      <c r="S380" s="49"/>
      <c r="T380" s="49"/>
      <c r="U380" s="2" t="str" cm="1">
        <f t="array" ref="U380">_xlfn.TEXTJOIN(", ", TRUE, IF(Y380:CG380="X", $Y$3:$CG$3, ""))</f>
        <v/>
      </c>
      <c r="V380" s="18" t="str" cm="1">
        <f t="array" ref="V380">_xlfn.TEXTJOIN(", ", TRUE, IF(Y380:CG380="X", $Y$2:$CG$2, ""))</f>
        <v/>
      </c>
      <c r="W380" s="2" t="str" cm="1">
        <f t="array" ref="W380">_xlfn.TEXTJOIN(", ", TRUE, IF(CH380:CS380="X", $CH$3:$CS$3, ""))</f>
        <v/>
      </c>
      <c r="X380" s="2" t="str" cm="1">
        <f t="array" ref="X380">_xlfn.TEXTJOIN(", ", TRUE, IF(CT380:CX380="X", $CT$3:$CX$3, ""))</f>
        <v/>
      </c>
    </row>
    <row r="381" spans="1:98" ht="18.75" customHeight="1" x14ac:dyDescent="0.25">
      <c r="A381" s="8">
        <v>360</v>
      </c>
      <c r="B381" s="2" t="s">
        <v>2747</v>
      </c>
      <c r="C381" s="2" t="s">
        <v>2748</v>
      </c>
      <c r="D381" s="29" t="s">
        <v>2749</v>
      </c>
      <c r="E381" s="29" t="s">
        <v>2750</v>
      </c>
      <c r="F381" s="18">
        <v>24151</v>
      </c>
      <c r="G381" s="8">
        <f ca="1">DATEDIF(F381, TODAY(), "Y")</f>
        <v>60</v>
      </c>
      <c r="H381" s="2" t="s">
        <v>537</v>
      </c>
      <c r="I381" s="2" t="s">
        <v>2751</v>
      </c>
      <c r="J381" s="29"/>
      <c r="L381" s="1"/>
      <c r="M381" s="30"/>
      <c r="N381" s="31"/>
      <c r="O381" s="31"/>
      <c r="P381" s="49"/>
      <c r="Q381" s="49"/>
      <c r="R381" s="18"/>
      <c r="S381" s="18"/>
      <c r="T381" s="18"/>
      <c r="U381" s="2" t="str" cm="1">
        <f t="array" ref="U381">_xlfn.TEXTJOIN(", ", TRUE, IF(Y381:CG381="X", $Y$3:$CG$3, ""))</f>
        <v/>
      </c>
      <c r="V381" s="18" t="str" cm="1">
        <f t="array" ref="V381">_xlfn.TEXTJOIN(", ", TRUE, IF(Y381:CG381="X", $Y$2:$CG$2, ""))</f>
        <v/>
      </c>
      <c r="W381" s="2" t="str" cm="1">
        <f t="array" ref="W381">_xlfn.TEXTJOIN(", ", TRUE, IF(CH381:CS381="X", $CH$3:$CS$3, ""))</f>
        <v/>
      </c>
      <c r="X381" s="2" t="str" cm="1">
        <f t="array" ref="X381">_xlfn.TEXTJOIN(", ", TRUE, IF(CT381:CX381="X", $CT$3:$CX$3, ""))</f>
        <v/>
      </c>
    </row>
    <row r="382" spans="1:98" ht="18.75" customHeight="1" x14ac:dyDescent="0.25">
      <c r="A382" s="8">
        <v>362</v>
      </c>
      <c r="B382" s="2" t="s">
        <v>2738</v>
      </c>
      <c r="C382" s="2" t="s">
        <v>2739</v>
      </c>
      <c r="D382" s="29" t="s">
        <v>2740</v>
      </c>
      <c r="E382" s="29" t="s">
        <v>2741</v>
      </c>
      <c r="F382" s="18">
        <v>24078</v>
      </c>
      <c r="G382" s="8">
        <f ca="1">DATEDIF(F382, TODAY(), "Y")</f>
        <v>60</v>
      </c>
      <c r="H382" s="2" t="s">
        <v>457</v>
      </c>
      <c r="I382" s="2" t="s">
        <v>2757</v>
      </c>
      <c r="J382" s="29"/>
      <c r="L382" s="1"/>
      <c r="M382" s="30"/>
      <c r="N382" s="31"/>
      <c r="O382" s="35"/>
      <c r="R382" s="67"/>
      <c r="S382" s="67"/>
      <c r="T382" s="67"/>
      <c r="U382" s="2" t="str" cm="1">
        <f t="array" ref="U382">_xlfn.TEXTJOIN(", ", TRUE, IF(Y382:CG382="X", $Y$3:$CG$3, ""))</f>
        <v/>
      </c>
      <c r="V382" s="18" t="str" cm="1">
        <f t="array" ref="V382">_xlfn.TEXTJOIN(", ", TRUE, IF(Y382:CG382="X", $Y$2:$CG$2, ""))</f>
        <v/>
      </c>
      <c r="W382" s="2" t="str" cm="1">
        <f t="array" ref="W382">_xlfn.TEXTJOIN(", ", TRUE, IF(CH382:CS382="X", $CH$3:$CS$3, ""))</f>
        <v/>
      </c>
      <c r="X382" s="2" t="str" cm="1">
        <f t="array" ref="X382">_xlfn.TEXTJOIN(", ", TRUE, IF(CT382:CX382="X", $CT$3:$CX$3, ""))</f>
        <v/>
      </c>
    </row>
    <row r="383" spans="1:98" ht="18.75" customHeight="1" x14ac:dyDescent="0.25">
      <c r="A383" s="8">
        <v>363</v>
      </c>
      <c r="B383" s="2" t="s">
        <v>2738</v>
      </c>
      <c r="C383" s="2" t="s">
        <v>2739</v>
      </c>
      <c r="D383" s="29" t="s">
        <v>2740</v>
      </c>
      <c r="E383" s="29" t="s">
        <v>2741</v>
      </c>
      <c r="F383" s="18">
        <v>24568</v>
      </c>
      <c r="G383" s="8">
        <f ca="1">DATEDIF(F383, TODAY(), "Y")</f>
        <v>59</v>
      </c>
      <c r="H383" s="2" t="s">
        <v>457</v>
      </c>
      <c r="I383" s="2" t="s">
        <v>2758</v>
      </c>
      <c r="J383" s="29"/>
      <c r="L383" s="1"/>
      <c r="M383" s="30"/>
      <c r="N383" s="31"/>
      <c r="O383" s="35"/>
      <c r="R383" s="67"/>
      <c r="S383" s="67"/>
      <c r="T383" s="67"/>
      <c r="U383" s="2" t="str" cm="1">
        <f t="array" ref="U383">_xlfn.TEXTJOIN(", ", TRUE, IF(Y383:CG383="X", $Y$3:$CG$3, ""))</f>
        <v/>
      </c>
      <c r="V383" s="18" t="str" cm="1">
        <f t="array" ref="V383">_xlfn.TEXTJOIN(", ", TRUE, IF(Y383:CG383="X", $Y$2:$CG$2, ""))</f>
        <v/>
      </c>
      <c r="W383" s="2" t="str" cm="1">
        <f t="array" ref="W383">_xlfn.TEXTJOIN(", ", TRUE, IF(CH383:CS383="X", $CH$3:$CS$3, ""))</f>
        <v/>
      </c>
      <c r="X383" s="2" t="str" cm="1">
        <f t="array" ref="X383">_xlfn.TEXTJOIN(", ", TRUE, IF(CT383:CX383="X", $CT$3:$CX$3, ""))</f>
        <v/>
      </c>
    </row>
    <row r="384" spans="1:98" ht="18.75" customHeight="1" x14ac:dyDescent="0.25">
      <c r="A384" s="8">
        <v>365</v>
      </c>
      <c r="B384" s="2" t="s">
        <v>2759</v>
      </c>
      <c r="C384" s="2" t="s">
        <v>2760</v>
      </c>
      <c r="D384" s="29" t="s">
        <v>2761</v>
      </c>
      <c r="E384" s="29" t="s">
        <v>463</v>
      </c>
      <c r="F384" s="18">
        <v>25454</v>
      </c>
      <c r="G384" s="8">
        <f ca="1">DATEDIF(F384, TODAY(), "Y")</f>
        <v>56</v>
      </c>
      <c r="H384" s="2" t="s">
        <v>464</v>
      </c>
      <c r="I384" s="2" t="s">
        <v>2764</v>
      </c>
      <c r="J384" s="29"/>
      <c r="L384" s="1"/>
      <c r="M384" s="30"/>
      <c r="N384" s="31"/>
      <c r="O384" s="31"/>
      <c r="P384" s="49"/>
      <c r="Q384" s="49"/>
      <c r="R384" s="18"/>
      <c r="S384" s="18"/>
      <c r="T384" s="18"/>
      <c r="U384" s="2" t="str" cm="1">
        <f t="array" ref="U384">_xlfn.TEXTJOIN(", ", TRUE, IF(Y384:CG384="X", $Y$3:$CG$3, ""))</f>
        <v/>
      </c>
      <c r="V384" s="18" t="str" cm="1">
        <f t="array" ref="V384">_xlfn.TEXTJOIN(", ", TRUE, IF(Y384:CG384="X", $Y$2:$CG$2, ""))</f>
        <v/>
      </c>
      <c r="W384" s="2" t="str" cm="1">
        <f t="array" ref="W384">_xlfn.TEXTJOIN(", ", TRUE, IF(CH384:CS384="X", $CH$3:$CS$3, ""))</f>
        <v/>
      </c>
      <c r="X384" s="2" t="str" cm="1">
        <f t="array" ref="X384">_xlfn.TEXTJOIN(", ", TRUE, IF(CT384:CX384="X", $CT$3:$CX$3, ""))</f>
        <v/>
      </c>
    </row>
    <row r="385" spans="1:102" ht="18.75" customHeight="1" x14ac:dyDescent="0.25">
      <c r="A385" s="8">
        <v>366</v>
      </c>
      <c r="B385" s="2" t="s">
        <v>2752</v>
      </c>
      <c r="C385" s="2" t="s">
        <v>2753</v>
      </c>
      <c r="D385" s="29" t="s">
        <v>2754</v>
      </c>
      <c r="E385" s="29" t="s">
        <v>2755</v>
      </c>
      <c r="F385" s="18"/>
      <c r="G385" s="8">
        <f ca="1">DATEDIF(F385, TODAY(), "Y")</f>
        <v>126</v>
      </c>
      <c r="H385" s="2" t="s">
        <v>1452</v>
      </c>
      <c r="I385" s="2" t="s">
        <v>2765</v>
      </c>
      <c r="J385" s="29"/>
      <c r="L385" s="1"/>
      <c r="M385" s="30"/>
      <c r="N385" s="31"/>
      <c r="O385" s="31"/>
      <c r="P385" s="49"/>
      <c r="Q385" s="49"/>
      <c r="R385" s="49"/>
      <c r="S385" s="49"/>
      <c r="T385" s="49"/>
      <c r="U385" s="2" t="str" cm="1">
        <f t="array" ref="U385">_xlfn.TEXTJOIN(", ", TRUE, IF(Y385:CG385="X", $Y$3:$CG$3, ""))</f>
        <v/>
      </c>
      <c r="V385" s="18" t="str" cm="1">
        <f t="array" ref="V385">_xlfn.TEXTJOIN(", ", TRUE, IF(Y385:CG385="X", $Y$2:$CG$2, ""))</f>
        <v/>
      </c>
      <c r="W385" s="2" t="str" cm="1">
        <f t="array" ref="W385">_xlfn.TEXTJOIN(", ", TRUE, IF(CH385:CS385="X", $CH$3:$CS$3, ""))</f>
        <v/>
      </c>
      <c r="X385" s="2" t="str" cm="1">
        <f t="array" ref="X385">_xlfn.TEXTJOIN(", ", TRUE, IF(CT385:CX385="X", $CT$3:$CX$3, ""))</f>
        <v/>
      </c>
      <c r="AC385" s="49"/>
      <c r="CW385" s="49"/>
      <c r="CX385" s="49"/>
    </row>
    <row r="386" spans="1:102" ht="18.75" customHeight="1" x14ac:dyDescent="0.25">
      <c r="A386" s="8">
        <v>367</v>
      </c>
      <c r="B386" s="2" t="s">
        <v>2759</v>
      </c>
      <c r="C386" s="2" t="s">
        <v>2760</v>
      </c>
      <c r="D386" s="29" t="s">
        <v>2761</v>
      </c>
      <c r="E386" s="29" t="s">
        <v>463</v>
      </c>
      <c r="F386" s="18">
        <v>14329</v>
      </c>
      <c r="G386" s="8">
        <f ca="1">DATEDIF(F386, TODAY(), "Y")</f>
        <v>87</v>
      </c>
      <c r="H386" s="2" t="s">
        <v>464</v>
      </c>
      <c r="I386" s="2" t="s">
        <v>2766</v>
      </c>
      <c r="J386" s="29"/>
      <c r="L386" s="1"/>
      <c r="M386" s="30"/>
      <c r="N386" s="31"/>
      <c r="O386" s="35"/>
      <c r="R386" s="18"/>
      <c r="S386" s="18"/>
      <c r="T386" s="18"/>
      <c r="U386" s="2" t="str" cm="1">
        <f t="array" ref="U386">_xlfn.TEXTJOIN(", ", TRUE, IF(Y386:CG386="X", $Y$3:$CG$3, ""))</f>
        <v/>
      </c>
      <c r="V386" s="18" t="str" cm="1">
        <f t="array" ref="V386">_xlfn.TEXTJOIN(", ", TRUE, IF(Y386:CG386="X", $Y$2:$CG$2, ""))</f>
        <v/>
      </c>
      <c r="W386" s="2" t="str" cm="1">
        <f t="array" ref="W386">_xlfn.TEXTJOIN(", ", TRUE, IF(CH386:CS386="X", $CH$3:$CS$3, ""))</f>
        <v/>
      </c>
      <c r="X386" s="2" t="str" cm="1">
        <f t="array" ref="X386">_xlfn.TEXTJOIN(", ", TRUE, IF(CT386:CX386="X", $CT$3:$CX$3, ""))</f>
        <v/>
      </c>
    </row>
    <row r="387" spans="1:102" ht="18.75" customHeight="1" x14ac:dyDescent="0.25">
      <c r="A387" s="8">
        <v>368</v>
      </c>
      <c r="B387" s="2" t="s">
        <v>2767</v>
      </c>
      <c r="C387" s="2" t="s">
        <v>2768</v>
      </c>
      <c r="D387" s="29" t="s">
        <v>2769</v>
      </c>
      <c r="E387" s="29" t="s">
        <v>2770</v>
      </c>
      <c r="F387" s="18"/>
      <c r="G387" s="8">
        <f ca="1">DATEDIF(F387, TODAY(), "Y")</f>
        <v>126</v>
      </c>
      <c r="H387" s="2" t="s">
        <v>468</v>
      </c>
      <c r="I387" s="2" t="s">
        <v>2771</v>
      </c>
      <c r="J387" s="29"/>
      <c r="L387" s="1"/>
      <c r="M387" s="30"/>
      <c r="N387" s="31"/>
      <c r="O387" s="35"/>
      <c r="U387" s="2" t="str" cm="1">
        <f t="array" ref="U387">_xlfn.TEXTJOIN(", ", TRUE, IF(Y387:CG387="X", $Y$3:$CG$3, ""))</f>
        <v/>
      </c>
      <c r="V387" s="18" t="str" cm="1">
        <f t="array" ref="V387">_xlfn.TEXTJOIN(", ", TRUE, IF(Y387:CG387="X", $Y$2:$CG$2, ""))</f>
        <v/>
      </c>
      <c r="W387" s="2" t="str" cm="1">
        <f t="array" ref="W387">_xlfn.TEXTJOIN(", ", TRUE, IF(CH387:CS387="X", $CH$3:$CS$3, ""))</f>
        <v/>
      </c>
      <c r="X387" s="2" t="str" cm="1">
        <f t="array" ref="X387">_xlfn.TEXTJOIN(", ", TRUE, IF(CT387:CX387="X", $CT$3:$CX$3, ""))</f>
        <v/>
      </c>
    </row>
    <row r="388" spans="1:102" ht="18.75" customHeight="1" x14ac:dyDescent="0.25">
      <c r="A388" s="8">
        <v>369</v>
      </c>
      <c r="B388" s="2" t="s">
        <v>2767</v>
      </c>
      <c r="C388" s="2" t="s">
        <v>2768</v>
      </c>
      <c r="D388" s="29" t="s">
        <v>2769</v>
      </c>
      <c r="E388" s="29" t="s">
        <v>2770</v>
      </c>
      <c r="F388" s="18">
        <v>27870</v>
      </c>
      <c r="G388" s="8">
        <f ca="1">DATEDIF(F388, TODAY(), "Y")</f>
        <v>50</v>
      </c>
      <c r="H388" s="2" t="s">
        <v>468</v>
      </c>
      <c r="I388" s="2" t="s">
        <v>2772</v>
      </c>
      <c r="J388" s="2"/>
      <c r="K388" s="49"/>
      <c r="L388" s="1" t="s">
        <v>2773</v>
      </c>
      <c r="M388" s="30"/>
      <c r="N388" s="31"/>
      <c r="O388" s="31"/>
      <c r="P388" s="2" t="s">
        <v>2774</v>
      </c>
      <c r="Q388" s="2" t="s">
        <v>3020</v>
      </c>
      <c r="R388" s="2" t="s">
        <v>1216</v>
      </c>
      <c r="S388" s="2"/>
      <c r="T388" s="2"/>
      <c r="U388" s="2" t="str" cm="1">
        <f t="array" ref="U388">_xlfn.TEXTJOIN(", ", TRUE, IF(Y388:CG388="X", $Y$3:$CG$3, ""))</f>
        <v>Behi haragia, Arrautzak, Barazkiak aire librean, Babarrunak, Eztia, Fruta, Intxaurrak</v>
      </c>
      <c r="V388" s="18" t="str" cm="1">
        <f t="array" ref="V388">_xlfn.TEXTJOIN(", ", TRUE, IF(Y388:CG388="X", $Y$2:$CG$2, ""))</f>
        <v>HARAGIA, OILOAK, BARAZKIAK, LEKALEAK, ERLEAK, FRUTA, FRUITU LEHORRAK</v>
      </c>
      <c r="W388" s="2" t="str" cm="1">
        <f t="array" ref="W388">_xlfn.TEXTJOIN(", ", TRUE, IF(CH388:CS388="X", $CH$3:$CS$3, ""))</f>
        <v>Dendetan, Bertatik Bertara</v>
      </c>
      <c r="X388" s="2" t="str" cm="1">
        <f t="array" ref="X388">_xlfn.TEXTJOIN(", ", TRUE, IF(CT388:CX388="X", $CT$3:$CX$3, ""))</f>
        <v/>
      </c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2" t="s">
        <v>764</v>
      </c>
      <c r="AK388" s="49"/>
      <c r="AL388" s="49"/>
      <c r="AM388" s="49"/>
      <c r="AN388" s="49"/>
      <c r="AO388" s="49"/>
      <c r="AP388" s="49"/>
      <c r="AQ388" s="49"/>
      <c r="AR388" s="2" t="s">
        <v>764</v>
      </c>
      <c r="AS388" s="2" t="s">
        <v>764</v>
      </c>
      <c r="AT388" s="49"/>
      <c r="AU388" s="49"/>
      <c r="AV388" s="49"/>
      <c r="AW388" s="49"/>
      <c r="AX388" s="49"/>
      <c r="AY388" s="49"/>
      <c r="AZ388" s="2" t="s">
        <v>764</v>
      </c>
      <c r="BA388" s="2" t="s">
        <v>764</v>
      </c>
      <c r="BB388" s="49"/>
      <c r="BC388" s="49"/>
      <c r="BD388" s="2" t="s">
        <v>764</v>
      </c>
      <c r="BE388" s="49"/>
      <c r="BF388" s="49"/>
      <c r="BG388" s="49"/>
      <c r="BH388" s="49"/>
      <c r="BI388" s="49"/>
      <c r="BJ388" s="49"/>
      <c r="BK388" s="49"/>
      <c r="BL388" s="49"/>
      <c r="BM388" s="49"/>
      <c r="BN388" s="49"/>
      <c r="BO388" s="2" t="s">
        <v>764</v>
      </c>
      <c r="BP388" s="49"/>
      <c r="BQ388" s="49"/>
      <c r="BR388" s="49"/>
      <c r="BS388" s="49"/>
      <c r="BT388" s="49"/>
      <c r="BU388" s="49"/>
      <c r="BV388" s="49"/>
      <c r="BW388" s="49"/>
      <c r="BX388" s="49"/>
      <c r="BY388" s="49"/>
      <c r="BZ388" s="49"/>
      <c r="CA388" s="49"/>
      <c r="CB388" s="49"/>
      <c r="CC388" s="49"/>
      <c r="CD388" s="49"/>
      <c r="CE388" s="49"/>
      <c r="CF388" s="49"/>
      <c r="CG388" s="49"/>
      <c r="CH388" s="49"/>
      <c r="CI388" s="49"/>
      <c r="CJ388" s="2" t="s">
        <v>764</v>
      </c>
      <c r="CK388" s="49"/>
      <c r="CL388" s="49"/>
      <c r="CM388" s="49"/>
      <c r="CN388" s="49"/>
      <c r="CO388" s="49"/>
      <c r="CP388" s="49"/>
      <c r="CQ388" s="49"/>
      <c r="CR388" s="2" t="s">
        <v>764</v>
      </c>
      <c r="CS388" s="49"/>
      <c r="CT388" s="49"/>
      <c r="CU388" s="49"/>
      <c r="CV388" s="49"/>
      <c r="CW388" s="49"/>
      <c r="CX388" s="49"/>
    </row>
    <row r="389" spans="1:102" ht="18.75" customHeight="1" x14ac:dyDescent="0.25">
      <c r="A389" s="8">
        <v>370</v>
      </c>
      <c r="B389" s="2" t="s">
        <v>2759</v>
      </c>
      <c r="C389" s="2" t="s">
        <v>2760</v>
      </c>
      <c r="D389" s="29" t="s">
        <v>2761</v>
      </c>
      <c r="E389" s="29" t="s">
        <v>463</v>
      </c>
      <c r="F389" s="18">
        <v>21760</v>
      </c>
      <c r="G389" s="8">
        <f ca="1">DATEDIF(F389, TODAY(), "Y")</f>
        <v>66</v>
      </c>
      <c r="H389" s="2" t="s">
        <v>464</v>
      </c>
      <c r="I389" s="2" t="s">
        <v>2775</v>
      </c>
      <c r="J389" s="29"/>
      <c r="L389" s="1">
        <v>669209283</v>
      </c>
      <c r="M389" s="30"/>
      <c r="N389" s="31"/>
      <c r="O389" s="31"/>
      <c r="P389" s="2" t="s">
        <v>2776</v>
      </c>
      <c r="Q389" s="2"/>
      <c r="R389" s="18"/>
      <c r="S389" s="18"/>
      <c r="T389" s="18"/>
      <c r="U389" s="2" t="str" cm="1">
        <f t="array" ref="U389">_xlfn.TEXTJOIN(", ", TRUE, IF(Y389:CG389="X", $Y$3:$CG$3, ""))</f>
        <v/>
      </c>
      <c r="V389" s="18" t="str" cm="1">
        <f t="array" ref="V389">_xlfn.TEXTJOIN(", ", TRUE, IF(Y389:CG389="X", $Y$2:$CG$2, ""))</f>
        <v/>
      </c>
      <c r="W389" s="2" t="str" cm="1">
        <f t="array" ref="W389">_xlfn.TEXTJOIN(", ", TRUE, IF(CH389:CS389="X", $CH$3:$CS$3, ""))</f>
        <v/>
      </c>
      <c r="X389" s="2" t="str" cm="1">
        <f t="array" ref="X389">_xlfn.TEXTJOIN(", ", TRUE, IF(CT389:CX389="X", $CT$3:$CX$3, ""))</f>
        <v/>
      </c>
      <c r="BD389" s="49"/>
      <c r="CT389" s="49"/>
    </row>
    <row r="390" spans="1:102" ht="18.75" customHeight="1" x14ac:dyDescent="0.25">
      <c r="A390" s="8">
        <v>371</v>
      </c>
      <c r="B390" s="2" t="s">
        <v>2759</v>
      </c>
      <c r="C390" s="2" t="s">
        <v>2760</v>
      </c>
      <c r="D390" s="29" t="s">
        <v>2761</v>
      </c>
      <c r="E390" s="29" t="s">
        <v>463</v>
      </c>
      <c r="F390" s="70">
        <v>25434</v>
      </c>
      <c r="G390" s="8">
        <f ca="1">DATEDIF(F390, TODAY(), "Y")</f>
        <v>56</v>
      </c>
      <c r="H390" s="2" t="s">
        <v>464</v>
      </c>
      <c r="I390" s="2" t="s">
        <v>2777</v>
      </c>
      <c r="J390" s="2"/>
      <c r="K390" s="49"/>
      <c r="L390" s="1"/>
      <c r="M390" s="30"/>
      <c r="N390" s="31"/>
      <c r="O390" s="31"/>
      <c r="P390" s="49"/>
      <c r="Q390" s="49"/>
      <c r="R390" s="18"/>
      <c r="S390" s="18"/>
      <c r="T390" s="18"/>
      <c r="U390" s="2" t="str" cm="1">
        <f t="array" ref="U390">_xlfn.TEXTJOIN(", ", TRUE, IF(Y390:CG390="X", $Y$3:$CG$3, ""))</f>
        <v/>
      </c>
      <c r="V390" s="18" t="str" cm="1">
        <f t="array" ref="V390">_xlfn.TEXTJOIN(", ", TRUE, IF(Y390:CG390="X", $Y$2:$CG$2, ""))</f>
        <v/>
      </c>
      <c r="W390" s="2" t="str" cm="1">
        <f t="array" ref="W390">_xlfn.TEXTJOIN(", ", TRUE, IF(CH390:CS390="X", $CH$3:$CS$3, ""))</f>
        <v/>
      </c>
      <c r="X390" s="2" t="str" cm="1">
        <f t="array" ref="X390">_xlfn.TEXTJOIN(", ", TRUE, IF(CT390:CX390="X", $CT$3:$CX$3, ""))</f>
        <v/>
      </c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  <c r="AY390" s="49"/>
      <c r="AZ390" s="49"/>
      <c r="BA390" s="49"/>
      <c r="BB390" s="49"/>
      <c r="BC390" s="49"/>
      <c r="BD390" s="49"/>
      <c r="BE390" s="49"/>
      <c r="BF390" s="49"/>
      <c r="BG390" s="49"/>
      <c r="BH390" s="49"/>
      <c r="BI390" s="49"/>
      <c r="BJ390" s="49"/>
      <c r="BK390" s="49"/>
      <c r="BL390" s="49"/>
      <c r="BM390" s="49"/>
      <c r="BN390" s="49"/>
      <c r="BO390" s="49"/>
      <c r="BP390" s="49"/>
      <c r="BQ390" s="49"/>
      <c r="BR390" s="49"/>
      <c r="BS390" s="49"/>
      <c r="BT390" s="49"/>
      <c r="BU390" s="49"/>
      <c r="BV390" s="49"/>
      <c r="BW390" s="49"/>
      <c r="BX390" s="49"/>
      <c r="BY390" s="49"/>
      <c r="BZ390" s="49"/>
      <c r="CA390" s="49"/>
      <c r="CB390" s="49"/>
      <c r="CC390" s="49"/>
      <c r="CD390" s="49"/>
      <c r="CE390" s="49"/>
      <c r="CF390" s="49"/>
      <c r="CG390" s="49"/>
      <c r="CH390" s="49"/>
      <c r="CI390" s="49"/>
      <c r="CJ390" s="49"/>
      <c r="CK390" s="49"/>
      <c r="CL390" s="49"/>
      <c r="CM390" s="49"/>
      <c r="CN390" s="49"/>
      <c r="CO390" s="49"/>
      <c r="CP390" s="49"/>
      <c r="CQ390" s="49"/>
      <c r="CR390" s="49"/>
      <c r="CS390" s="49"/>
      <c r="CT390" s="49"/>
      <c r="CU390" s="49"/>
      <c r="CV390" s="49"/>
      <c r="CW390" s="49"/>
      <c r="CX390" s="49"/>
    </row>
    <row r="391" spans="1:102" ht="18.75" customHeight="1" x14ac:dyDescent="0.25">
      <c r="A391" s="8">
        <v>372</v>
      </c>
      <c r="B391" s="2" t="s">
        <v>2767</v>
      </c>
      <c r="C391" s="2" t="s">
        <v>2768</v>
      </c>
      <c r="D391" s="29" t="s">
        <v>2769</v>
      </c>
      <c r="E391" s="29" t="s">
        <v>2770</v>
      </c>
      <c r="F391" s="18">
        <v>24149</v>
      </c>
      <c r="G391" s="8">
        <f ca="1">DATEDIF(F391, TODAY(), "Y")</f>
        <v>60</v>
      </c>
      <c r="H391" s="2" t="s">
        <v>468</v>
      </c>
      <c r="I391" s="2" t="s">
        <v>2778</v>
      </c>
      <c r="J391" s="29"/>
      <c r="L391" s="1">
        <v>639674895</v>
      </c>
      <c r="M391" s="30"/>
      <c r="N391" s="31"/>
      <c r="O391" s="31"/>
      <c r="P391" s="2" t="s">
        <v>2779</v>
      </c>
      <c r="Q391" s="2"/>
      <c r="R391" s="18"/>
      <c r="S391" s="18"/>
      <c r="T391" s="18"/>
      <c r="U391" s="2" t="str" cm="1">
        <f t="array" ref="U391">_xlfn.TEXTJOIN(", ", TRUE, IF(Y391:CG391="X", $Y$3:$CG$3, ""))</f>
        <v/>
      </c>
      <c r="V391" s="18" t="str" cm="1">
        <f t="array" ref="V391">_xlfn.TEXTJOIN(", ", TRUE, IF(Y391:CG391="X", $Y$2:$CG$2, ""))</f>
        <v/>
      </c>
      <c r="W391" s="2" t="str" cm="1">
        <f t="array" ref="W391">_xlfn.TEXTJOIN(", ", TRUE, IF(CH391:CS391="X", $CH$3:$CS$3, ""))</f>
        <v/>
      </c>
      <c r="X391" s="2" t="str" cm="1">
        <f t="array" ref="X391">_xlfn.TEXTJOIN(", ", TRUE, IF(CT391:CX391="X", $CT$3:$CX$3, ""))</f>
        <v/>
      </c>
      <c r="AJ391" s="49"/>
      <c r="AM391" s="49"/>
      <c r="AN391" s="49"/>
    </row>
    <row r="392" spans="1:102" ht="18.75" customHeight="1" x14ac:dyDescent="0.25">
      <c r="A392" s="8">
        <v>373</v>
      </c>
      <c r="B392" s="65" t="s">
        <v>2767</v>
      </c>
      <c r="C392" s="65" t="s">
        <v>2768</v>
      </c>
      <c r="D392" s="29" t="s">
        <v>2769</v>
      </c>
      <c r="E392" s="29" t="s">
        <v>2770</v>
      </c>
      <c r="F392" s="67">
        <v>15697</v>
      </c>
      <c r="G392" s="8">
        <f ca="1">DATEDIF(F392, TODAY(), "Y")</f>
        <v>83</v>
      </c>
      <c r="H392" s="2" t="s">
        <v>468</v>
      </c>
      <c r="I392" s="2" t="s">
        <v>2780</v>
      </c>
      <c r="J392" s="29"/>
      <c r="L392" s="1">
        <v>943734421</v>
      </c>
      <c r="M392" s="30"/>
      <c r="N392" s="31"/>
      <c r="O392" s="31"/>
      <c r="P392" s="2" t="s">
        <v>2781</v>
      </c>
      <c r="Q392" s="2"/>
      <c r="R392" s="18"/>
      <c r="S392" s="18"/>
      <c r="T392" s="18"/>
      <c r="U392" s="2" t="str" cm="1">
        <f t="array" ref="U392">_xlfn.TEXTJOIN(", ", TRUE, IF(Y392:CG392="X", $Y$3:$CG$3, ""))</f>
        <v/>
      </c>
      <c r="V392" s="18" t="str" cm="1">
        <f t="array" ref="V392">_xlfn.TEXTJOIN(", ", TRUE, IF(Y392:CG392="X", $Y$2:$CG$2, ""))</f>
        <v/>
      </c>
      <c r="W392" s="2" t="str" cm="1">
        <f t="array" ref="W392">_xlfn.TEXTJOIN(", ", TRUE, IF(CH392:CS392="X", $CH$3:$CS$3, ""))</f>
        <v/>
      </c>
      <c r="X392" s="2" t="str" cm="1">
        <f t="array" ref="X392">_xlfn.TEXTJOIN(", ", TRUE, IF(CT392:CX392="X", $CT$3:$CX$3, ""))</f>
        <v/>
      </c>
      <c r="AL392" s="49"/>
      <c r="CH392" s="49"/>
      <c r="CI392" s="49"/>
      <c r="CP392" s="49"/>
      <c r="CQ392" s="38"/>
      <c r="CT392" s="49"/>
    </row>
    <row r="393" spans="1:102" ht="18.75" customHeight="1" x14ac:dyDescent="0.25">
      <c r="A393" s="8">
        <v>374</v>
      </c>
      <c r="B393" s="65" t="s">
        <v>2767</v>
      </c>
      <c r="C393" s="65" t="s">
        <v>2768</v>
      </c>
      <c r="D393" s="29" t="s">
        <v>2769</v>
      </c>
      <c r="E393" s="29" t="s">
        <v>2770</v>
      </c>
      <c r="F393" s="67">
        <v>12076</v>
      </c>
      <c r="G393" s="8">
        <f ca="1">DATEDIF(F393, TODAY(), "Y")</f>
        <v>93</v>
      </c>
      <c r="H393" s="2" t="s">
        <v>468</v>
      </c>
      <c r="I393" s="65" t="s">
        <v>2782</v>
      </c>
      <c r="J393" s="65"/>
      <c r="L393" s="1"/>
      <c r="M393" s="30"/>
      <c r="N393" s="31"/>
      <c r="O393" s="31"/>
      <c r="P393" s="49"/>
      <c r="Q393" s="38"/>
      <c r="R393" s="67"/>
      <c r="S393" s="67"/>
      <c r="T393" s="67"/>
      <c r="U393" s="2" t="str" cm="1">
        <f t="array" ref="U393">_xlfn.TEXTJOIN(", ", TRUE, IF(Y393:CG393="X", $Y$3:$CG$3, ""))</f>
        <v/>
      </c>
      <c r="V393" s="18" t="str" cm="1">
        <f t="array" ref="V393">_xlfn.TEXTJOIN(", ", TRUE, IF(Y393:CG393="X", $Y$2:$CG$2, ""))</f>
        <v/>
      </c>
      <c r="W393" s="2" t="str" cm="1">
        <f t="array" ref="W393">_xlfn.TEXTJOIN(", ", TRUE, IF(CH393:CS393="X", $CH$3:$CS$3, ""))</f>
        <v/>
      </c>
      <c r="X393" s="2" t="str" cm="1">
        <f t="array" ref="X393">_xlfn.TEXTJOIN(", ", TRUE, IF(CT393:CX393="X", $CT$3:$CX$3, ""))</f>
        <v/>
      </c>
      <c r="AN393" s="49"/>
      <c r="AS393" s="49"/>
      <c r="BD393" s="49"/>
      <c r="BO393" s="49"/>
      <c r="CT393" s="49"/>
    </row>
    <row r="394" spans="1:102" ht="18.75" customHeight="1" x14ac:dyDescent="0.25">
      <c r="A394" s="8">
        <v>375</v>
      </c>
      <c r="B394" s="2" t="s">
        <v>2767</v>
      </c>
      <c r="C394" s="2" t="s">
        <v>2768</v>
      </c>
      <c r="D394" s="29" t="s">
        <v>2769</v>
      </c>
      <c r="E394" s="29" t="s">
        <v>2770</v>
      </c>
      <c r="F394" s="18">
        <v>10724</v>
      </c>
      <c r="G394" s="8">
        <f ca="1">DATEDIF(F394, TODAY(), "Y")</f>
        <v>97</v>
      </c>
      <c r="H394" s="2" t="s">
        <v>468</v>
      </c>
      <c r="I394" s="2" t="s">
        <v>2783</v>
      </c>
      <c r="J394" s="29"/>
      <c r="L394" s="1"/>
      <c r="M394" s="30"/>
      <c r="N394" s="31"/>
      <c r="O394" s="31"/>
      <c r="P394" s="49"/>
      <c r="Q394" s="49"/>
      <c r="R394" s="18"/>
      <c r="S394" s="18"/>
      <c r="T394" s="18"/>
      <c r="U394" s="2" t="str" cm="1">
        <f t="array" ref="U394">_xlfn.TEXTJOIN(", ", TRUE, IF(Y394:CG394="X", $Y$3:$CG$3, ""))</f>
        <v/>
      </c>
      <c r="V394" s="18" t="str" cm="1">
        <f t="array" ref="V394">_xlfn.TEXTJOIN(", ", TRUE, IF(Y394:CG394="X", $Y$2:$CG$2, ""))</f>
        <v/>
      </c>
      <c r="W394" s="2" t="str" cm="1">
        <f t="array" ref="W394">_xlfn.TEXTJOIN(", ", TRUE, IF(CH394:CS394="X", $CH$3:$CS$3, ""))</f>
        <v/>
      </c>
      <c r="X394" s="2" t="str" cm="1">
        <f t="array" ref="X394">_xlfn.TEXTJOIN(", ", TRUE, IF(CT394:CX394="X", $CT$3:$CX$3, ""))</f>
        <v/>
      </c>
      <c r="AS394" s="49"/>
      <c r="CT394" s="49"/>
    </row>
    <row r="395" spans="1:102" ht="18.75" customHeight="1" x14ac:dyDescent="0.25">
      <c r="A395" s="8">
        <v>376</v>
      </c>
      <c r="B395" s="65" t="s">
        <v>2767</v>
      </c>
      <c r="C395" s="2" t="s">
        <v>2768</v>
      </c>
      <c r="D395" s="29" t="s">
        <v>2769</v>
      </c>
      <c r="E395" s="29" t="s">
        <v>2770</v>
      </c>
      <c r="F395" s="18">
        <v>17125</v>
      </c>
      <c r="G395" s="8">
        <f ca="1">DATEDIF(F395, TODAY(), "Y")</f>
        <v>79</v>
      </c>
      <c r="H395" s="2" t="s">
        <v>468</v>
      </c>
      <c r="I395" s="2" t="s">
        <v>2784</v>
      </c>
      <c r="J395" s="29"/>
      <c r="L395" s="1"/>
      <c r="M395" s="30"/>
      <c r="N395" s="31"/>
      <c r="O395" s="31"/>
      <c r="P395" s="49"/>
      <c r="Q395" s="49"/>
      <c r="R395" s="18"/>
      <c r="S395" s="18"/>
      <c r="T395" s="18"/>
      <c r="U395" s="2" t="str" cm="1">
        <f t="array" ref="U395">_xlfn.TEXTJOIN(", ", TRUE, IF(Y395:CG395="X", $Y$3:$CG$3, ""))</f>
        <v/>
      </c>
      <c r="V395" s="18" t="str" cm="1">
        <f t="array" ref="V395">_xlfn.TEXTJOIN(", ", TRUE, IF(Y395:CG395="X", $Y$2:$CG$2, ""))</f>
        <v/>
      </c>
      <c r="W395" s="2" t="str" cm="1">
        <f t="array" ref="W395">_xlfn.TEXTJOIN(", ", TRUE, IF(CH395:CS395="X", $CH$3:$CS$3, ""))</f>
        <v/>
      </c>
      <c r="X395" s="2" t="str" cm="1">
        <f t="array" ref="X395">_xlfn.TEXTJOIN(", ", TRUE, IF(CT395:CX395="X", $CT$3:$CX$3, ""))</f>
        <v/>
      </c>
      <c r="AS395" s="49"/>
      <c r="AT395" s="49"/>
      <c r="AZ395" s="49"/>
      <c r="BD395" s="49"/>
      <c r="BJ395" s="49"/>
      <c r="BO395" s="49"/>
      <c r="CF395" s="49"/>
      <c r="CH395" s="49"/>
      <c r="CM395" s="49"/>
      <c r="CO395" s="49"/>
      <c r="CP395" s="49"/>
      <c r="CQ395" s="38"/>
      <c r="CT395" s="49"/>
    </row>
    <row r="396" spans="1:102" ht="18.75" customHeight="1" x14ac:dyDescent="0.25">
      <c r="A396" s="8">
        <v>377</v>
      </c>
      <c r="B396" s="65" t="s">
        <v>2785</v>
      </c>
      <c r="C396" s="65" t="s">
        <v>2786</v>
      </c>
      <c r="D396" s="29" t="s">
        <v>2787</v>
      </c>
      <c r="E396" s="29" t="s">
        <v>2788</v>
      </c>
      <c r="F396" s="70">
        <v>16190</v>
      </c>
      <c r="G396" s="8">
        <f ca="1">DATEDIF(F396, TODAY(), "Y")</f>
        <v>82</v>
      </c>
      <c r="H396" s="2" t="s">
        <v>1893</v>
      </c>
      <c r="I396" s="2" t="s">
        <v>2789</v>
      </c>
      <c r="J396" s="29"/>
      <c r="L396" s="1"/>
      <c r="M396" s="30"/>
      <c r="N396" s="31"/>
      <c r="O396" s="31"/>
      <c r="P396" s="49"/>
      <c r="Q396" s="49"/>
      <c r="R396" s="18"/>
      <c r="S396" s="18"/>
      <c r="T396" s="18"/>
      <c r="U396" s="2" t="str" cm="1">
        <f t="array" ref="U396">_xlfn.TEXTJOIN(", ", TRUE, IF(Y396:CG396="X", $Y$3:$CG$3, ""))</f>
        <v/>
      </c>
      <c r="V396" s="18" t="str" cm="1">
        <f t="array" ref="V396">_xlfn.TEXTJOIN(", ", TRUE, IF(Y396:CG396="X", $Y$2:$CG$2, ""))</f>
        <v/>
      </c>
      <c r="W396" s="2" t="str" cm="1">
        <f t="array" ref="W396">_xlfn.TEXTJOIN(", ", TRUE, IF(CH396:CS396="X", $CH$3:$CS$3, ""))</f>
        <v/>
      </c>
      <c r="X396" s="2" t="str" cm="1">
        <f t="array" ref="X396">_xlfn.TEXTJOIN(", ", TRUE, IF(CT396:CX396="X", $CT$3:$CX$3, ""))</f>
        <v/>
      </c>
      <c r="AJ396" s="49"/>
      <c r="AM396" s="49"/>
      <c r="CI396" s="49"/>
      <c r="CJ396" s="49"/>
      <c r="CL396" s="49"/>
      <c r="CO396" s="49"/>
      <c r="CP396" s="49"/>
      <c r="CQ396" s="49"/>
      <c r="CR396" s="49"/>
      <c r="CS396" s="49"/>
      <c r="CT396" s="49"/>
    </row>
    <row r="397" spans="1:102" ht="18.75" customHeight="1" x14ac:dyDescent="0.25">
      <c r="A397" s="8">
        <v>378</v>
      </c>
      <c r="B397" s="65" t="s">
        <v>2767</v>
      </c>
      <c r="C397" s="65" t="s">
        <v>2768</v>
      </c>
      <c r="D397" s="29" t="s">
        <v>2769</v>
      </c>
      <c r="E397" s="29" t="s">
        <v>2770</v>
      </c>
      <c r="F397" s="18"/>
      <c r="G397" s="8">
        <f ca="1">DATEDIF(F397, TODAY(), "Y")</f>
        <v>126</v>
      </c>
      <c r="H397" s="2" t="s">
        <v>468</v>
      </c>
      <c r="I397" s="2" t="s">
        <v>2790</v>
      </c>
      <c r="J397" s="29"/>
      <c r="L397" s="1"/>
      <c r="M397" s="30"/>
      <c r="N397" s="31"/>
      <c r="O397" s="31"/>
      <c r="P397" s="49"/>
      <c r="Q397" s="49"/>
      <c r="R397" s="49"/>
      <c r="S397" s="49"/>
      <c r="T397" s="49"/>
      <c r="U397" s="2" t="str" cm="1">
        <f t="array" ref="U397">_xlfn.TEXTJOIN(", ", TRUE, IF(Y397:CG397="X", $Y$3:$CG$3, ""))</f>
        <v/>
      </c>
      <c r="V397" s="18" t="str" cm="1">
        <f t="array" ref="V397">_xlfn.TEXTJOIN(", ", TRUE, IF(Y397:CG397="X", $Y$2:$CG$2, ""))</f>
        <v/>
      </c>
      <c r="W397" s="2" t="str" cm="1">
        <f t="array" ref="W397">_xlfn.TEXTJOIN(", ", TRUE, IF(CH397:CS397="X", $CH$3:$CS$3, ""))</f>
        <v/>
      </c>
      <c r="X397" s="2" t="str" cm="1">
        <f t="array" ref="X397">_xlfn.TEXTJOIN(", ", TRUE, IF(CT397:CX397="X", $CT$3:$CX$3, ""))</f>
        <v/>
      </c>
      <c r="AN397" s="49"/>
      <c r="AR397" s="49"/>
      <c r="BD397" s="49"/>
      <c r="BG397" s="49"/>
      <c r="BM397" s="49"/>
      <c r="BO397" s="49"/>
    </row>
    <row r="398" spans="1:102" ht="18.75" customHeight="1" x14ac:dyDescent="0.25">
      <c r="A398" s="8">
        <v>379</v>
      </c>
      <c r="B398" s="65" t="s">
        <v>2767</v>
      </c>
      <c r="C398" s="65" t="s">
        <v>2768</v>
      </c>
      <c r="D398" s="29" t="s">
        <v>2769</v>
      </c>
      <c r="E398" s="29" t="s">
        <v>2770</v>
      </c>
      <c r="F398" s="18"/>
      <c r="G398" s="8">
        <f ca="1">DATEDIF(F398, TODAY(), "Y")</f>
        <v>126</v>
      </c>
      <c r="H398" s="2" t="s">
        <v>468</v>
      </c>
      <c r="I398" s="2" t="s">
        <v>2791</v>
      </c>
      <c r="J398" s="29"/>
      <c r="L398" s="1"/>
      <c r="M398" s="30"/>
      <c r="N398" s="31"/>
      <c r="O398" s="31"/>
      <c r="P398" s="49"/>
      <c r="Q398" s="49"/>
      <c r="R398" s="49"/>
      <c r="S398" s="49"/>
      <c r="T398" s="49"/>
      <c r="U398" s="2" t="str" cm="1">
        <f t="array" ref="U398">_xlfn.TEXTJOIN(", ", TRUE, IF(Y398:CG398="X", $Y$3:$CG$3, ""))</f>
        <v/>
      </c>
      <c r="V398" s="18" t="str" cm="1">
        <f t="array" ref="V398">_xlfn.TEXTJOIN(", ", TRUE, IF(Y398:CG398="X", $Y$2:$CG$2, ""))</f>
        <v/>
      </c>
      <c r="W398" s="2" t="str" cm="1">
        <f t="array" ref="W398">_xlfn.TEXTJOIN(", ", TRUE, IF(CH398:CS398="X", $CH$3:$CS$3, ""))</f>
        <v/>
      </c>
      <c r="X398" s="2" t="str" cm="1">
        <f t="array" ref="X398">_xlfn.TEXTJOIN(", ", TRUE, IF(CT398:CX398="X", $CT$3:$CX$3, ""))</f>
        <v/>
      </c>
      <c r="AZ398" s="49"/>
      <c r="CI398" s="49"/>
      <c r="CR398" s="49"/>
    </row>
    <row r="399" spans="1:102" ht="18.75" customHeight="1" x14ac:dyDescent="0.25">
      <c r="A399" s="8">
        <v>380</v>
      </c>
      <c r="B399" s="65" t="s">
        <v>2792</v>
      </c>
      <c r="C399" s="65" t="s">
        <v>2793</v>
      </c>
      <c r="D399" s="29" t="s">
        <v>2794</v>
      </c>
      <c r="E399" s="29" t="s">
        <v>2795</v>
      </c>
      <c r="F399" s="67">
        <v>24487</v>
      </c>
      <c r="G399" s="8">
        <f ca="1">DATEDIF(F399, TODAY(), "Y")</f>
        <v>59</v>
      </c>
      <c r="H399" s="2" t="s">
        <v>581</v>
      </c>
      <c r="I399" s="65" t="s">
        <v>2796</v>
      </c>
      <c r="J399" s="65"/>
      <c r="L399" s="1"/>
      <c r="M399" s="30"/>
      <c r="N399" s="31"/>
      <c r="O399" s="31"/>
      <c r="P399" s="49"/>
      <c r="Q399" s="49"/>
      <c r="R399" s="18"/>
      <c r="S399" s="18"/>
      <c r="T399" s="18"/>
      <c r="U399" s="2" t="str" cm="1">
        <f t="array" ref="U399">_xlfn.TEXTJOIN(", ", TRUE, IF(Y399:CG399="X", $Y$3:$CG$3, ""))</f>
        <v/>
      </c>
      <c r="V399" s="18" t="str" cm="1">
        <f t="array" ref="V399">_xlfn.TEXTJOIN(", ", TRUE, IF(Y399:CG399="X", $Y$2:$CG$2, ""))</f>
        <v/>
      </c>
      <c r="W399" s="2" t="str" cm="1">
        <f t="array" ref="W399">_xlfn.TEXTJOIN(", ", TRUE, IF(CH399:CS399="X", $CH$3:$CS$3, ""))</f>
        <v/>
      </c>
      <c r="X399" s="2" t="str" cm="1">
        <f t="array" ref="X399">_xlfn.TEXTJOIN(", ", TRUE, IF(CT399:CX399="X", $CT$3:$CX$3, ""))</f>
        <v/>
      </c>
    </row>
    <row r="400" spans="1:102" ht="18.75" customHeight="1" x14ac:dyDescent="0.25">
      <c r="A400" s="8">
        <v>381</v>
      </c>
      <c r="B400" s="65" t="s">
        <v>2797</v>
      </c>
      <c r="C400" s="65" t="s">
        <v>2798</v>
      </c>
      <c r="D400" s="29" t="s">
        <v>2799</v>
      </c>
      <c r="E400" s="29" t="s">
        <v>2800</v>
      </c>
      <c r="F400" s="67">
        <v>15266</v>
      </c>
      <c r="G400" s="8">
        <f ca="1">DATEDIF(F400, TODAY(), "Y")</f>
        <v>84</v>
      </c>
      <c r="H400" s="2" t="s">
        <v>585</v>
      </c>
      <c r="I400" s="65" t="s">
        <v>2801</v>
      </c>
      <c r="J400" s="65"/>
      <c r="L400" s="1">
        <v>645731376</v>
      </c>
      <c r="M400" s="30"/>
      <c r="N400" s="31"/>
      <c r="O400" s="77"/>
      <c r="P400" s="2" t="s">
        <v>2802</v>
      </c>
      <c r="Q400" s="29"/>
      <c r="R400" s="67"/>
      <c r="S400" s="67"/>
      <c r="T400" s="67"/>
      <c r="U400" s="2" t="str" cm="1">
        <f t="array" ref="U400">_xlfn.TEXTJOIN(", ", TRUE, IF(Y400:CG400="X", $Y$3:$CG$3, ""))</f>
        <v/>
      </c>
      <c r="V400" s="18" t="str" cm="1">
        <f t="array" ref="V400">_xlfn.TEXTJOIN(", ", TRUE, IF(Y400:CG400="X", $Y$2:$CG$2, ""))</f>
        <v/>
      </c>
      <c r="W400" s="2" t="str" cm="1">
        <f t="array" ref="W400">_xlfn.TEXTJOIN(", ", TRUE, IF(CH400:CS400="X", $CH$3:$CS$3, ""))</f>
        <v/>
      </c>
      <c r="X400" s="2" t="str" cm="1">
        <f t="array" ref="X400">_xlfn.TEXTJOIN(", ", TRUE, IF(CT400:CX400="X", $CT$3:$CX$3, ""))</f>
        <v/>
      </c>
      <c r="BX400" s="49"/>
      <c r="BY400" s="49"/>
      <c r="CT400" s="49"/>
    </row>
    <row r="401" spans="1:102" ht="18.75" customHeight="1" x14ac:dyDescent="0.25">
      <c r="A401" s="8">
        <v>382</v>
      </c>
      <c r="B401" s="65" t="s">
        <v>2785</v>
      </c>
      <c r="C401" s="65" t="s">
        <v>2786</v>
      </c>
      <c r="D401" s="29" t="s">
        <v>2787</v>
      </c>
      <c r="E401" s="29" t="s">
        <v>2788</v>
      </c>
      <c r="F401" s="18">
        <v>25931</v>
      </c>
      <c r="G401" s="8">
        <f ca="1">DATEDIF(F401, TODAY(), "Y")</f>
        <v>55</v>
      </c>
      <c r="H401" s="2" t="s">
        <v>1893</v>
      </c>
      <c r="I401" s="2" t="s">
        <v>2803</v>
      </c>
      <c r="J401" s="29"/>
      <c r="L401" s="1"/>
      <c r="M401" s="30"/>
      <c r="N401" s="31"/>
      <c r="O401" s="31"/>
      <c r="P401" s="49"/>
      <c r="Q401" s="49"/>
      <c r="R401" s="18"/>
      <c r="S401" s="18"/>
      <c r="T401" s="18"/>
      <c r="U401" s="2" t="str" cm="1">
        <f t="array" ref="U401">_xlfn.TEXTJOIN(", ", TRUE, IF(Y401:CG401="X", $Y$3:$CG$3, ""))</f>
        <v/>
      </c>
      <c r="V401" s="18" t="str" cm="1">
        <f t="array" ref="V401">_xlfn.TEXTJOIN(", ", TRUE, IF(Y401:CG401="X", $Y$2:$CG$2, ""))</f>
        <v/>
      </c>
      <c r="W401" s="2" t="str" cm="1">
        <f t="array" ref="W401">_xlfn.TEXTJOIN(", ", TRUE, IF(CH401:CS401="X", $CH$3:$CS$3, ""))</f>
        <v/>
      </c>
      <c r="X401" s="2" t="str" cm="1">
        <f t="array" ref="X401">_xlfn.TEXTJOIN(", ", TRUE, IF(CT401:CX401="X", $CT$3:$CX$3, ""))</f>
        <v/>
      </c>
      <c r="AR401" s="49"/>
      <c r="AS401" s="49"/>
      <c r="AW401" s="49"/>
      <c r="AX401" s="49"/>
      <c r="BD401" s="49"/>
      <c r="BO401" s="49"/>
      <c r="CH401" s="49"/>
      <c r="CI401" s="49"/>
      <c r="CJ401" s="49"/>
      <c r="CK401" s="49"/>
      <c r="CR401" s="49"/>
    </row>
    <row r="402" spans="1:102" ht="18.75" customHeight="1" x14ac:dyDescent="0.25">
      <c r="A402" s="8">
        <v>383</v>
      </c>
      <c r="B402" s="65" t="s">
        <v>2792</v>
      </c>
      <c r="C402" s="65" t="s">
        <v>2793</v>
      </c>
      <c r="D402" s="29" t="s">
        <v>2794</v>
      </c>
      <c r="E402" s="29" t="s">
        <v>2795</v>
      </c>
      <c r="F402" s="18"/>
      <c r="G402" s="8">
        <f ca="1">DATEDIF(F402, TODAY(), "Y")</f>
        <v>126</v>
      </c>
      <c r="H402" s="2" t="s">
        <v>581</v>
      </c>
      <c r="I402" s="2" t="s">
        <v>2804</v>
      </c>
      <c r="J402" s="29"/>
      <c r="L402" s="1"/>
      <c r="M402" s="30"/>
      <c r="N402" s="31"/>
      <c r="O402" s="31"/>
      <c r="P402" s="49"/>
      <c r="Q402" s="49"/>
      <c r="R402" s="49"/>
      <c r="S402" s="49"/>
      <c r="T402" s="49"/>
      <c r="U402" s="2" t="str" cm="1">
        <f t="array" ref="U402">_xlfn.TEXTJOIN(", ", TRUE, IF(Y402:CG402="X", $Y$3:$CG$3, ""))</f>
        <v/>
      </c>
      <c r="V402" s="18" t="str" cm="1">
        <f t="array" ref="V402">_xlfn.TEXTJOIN(", ", TRUE, IF(Y402:CG402="X", $Y$2:$CG$2, ""))</f>
        <v/>
      </c>
      <c r="W402" s="2" t="str" cm="1">
        <f t="array" ref="W402">_xlfn.TEXTJOIN(", ", TRUE, IF(CH402:CS402="X", $CH$3:$CS$3, ""))</f>
        <v/>
      </c>
      <c r="X402" s="2" t="str" cm="1">
        <f t="array" ref="X402">_xlfn.TEXTJOIN(", ", TRUE, IF(CT402:CX402="X", $CT$3:$CX$3, ""))</f>
        <v/>
      </c>
      <c r="BD402" s="49"/>
      <c r="CR402" s="49"/>
      <c r="CT402" s="49"/>
    </row>
    <row r="403" spans="1:102" ht="18.75" customHeight="1" x14ac:dyDescent="0.25">
      <c r="A403" s="8">
        <v>384</v>
      </c>
      <c r="B403" s="65" t="s">
        <v>2805</v>
      </c>
      <c r="C403" s="65" t="s">
        <v>2806</v>
      </c>
      <c r="D403" s="29" t="s">
        <v>2807</v>
      </c>
      <c r="E403" s="29" t="s">
        <v>2808</v>
      </c>
      <c r="F403" s="67">
        <v>19737</v>
      </c>
      <c r="G403" s="8">
        <f ca="1">DATEDIF(F403, TODAY(), "Y")</f>
        <v>72</v>
      </c>
      <c r="H403" s="2" t="s">
        <v>2308</v>
      </c>
      <c r="I403" s="65" t="s">
        <v>2809</v>
      </c>
      <c r="J403" s="65"/>
      <c r="K403" s="49"/>
      <c r="L403" s="1">
        <v>635732225</v>
      </c>
      <c r="M403" s="30"/>
      <c r="N403" s="31"/>
      <c r="O403" s="35"/>
      <c r="P403" s="65" t="s">
        <v>2810</v>
      </c>
      <c r="Q403" s="65"/>
      <c r="R403" s="18"/>
      <c r="S403" s="18"/>
      <c r="T403" s="18"/>
      <c r="U403" s="2" t="str" cm="1">
        <f t="array" ref="U403">_xlfn.TEXTJOIN(", ", TRUE, IF(Y403:CG403="X", $Y$3:$CG$3, ""))</f>
        <v/>
      </c>
      <c r="V403" s="18" t="str" cm="1">
        <f t="array" ref="V403">_xlfn.TEXTJOIN(", ", TRUE, IF(Y403:CG403="X", $Y$2:$CG$2, ""))</f>
        <v/>
      </c>
      <c r="W403" s="2" t="str" cm="1">
        <f t="array" ref="W403">_xlfn.TEXTJOIN(", ", TRUE, IF(CH403:CS403="X", $CH$3:$CS$3, ""))</f>
        <v/>
      </c>
      <c r="X403" s="2" t="str" cm="1">
        <f t="array" ref="X403">_xlfn.TEXTJOIN(", ", TRUE, IF(CT403:CX403="X", $CT$3:$CX$3, ""))</f>
        <v/>
      </c>
      <c r="CD403" s="49"/>
    </row>
    <row r="404" spans="1:102" ht="18.75" customHeight="1" x14ac:dyDescent="0.25">
      <c r="A404" s="8">
        <v>385</v>
      </c>
      <c r="B404" s="65" t="s">
        <v>2811</v>
      </c>
      <c r="C404" s="65" t="s">
        <v>2812</v>
      </c>
      <c r="D404" s="29" t="s">
        <v>2813</v>
      </c>
      <c r="E404" s="29" t="s">
        <v>2814</v>
      </c>
      <c r="F404" s="67">
        <v>25903</v>
      </c>
      <c r="G404" s="8">
        <f ca="1">DATEDIF(F404, TODAY(), "Y")</f>
        <v>55</v>
      </c>
      <c r="H404" s="2" t="s">
        <v>2448</v>
      </c>
      <c r="I404" s="65" t="s">
        <v>2815</v>
      </c>
      <c r="J404" s="65"/>
      <c r="L404" s="1">
        <v>602680701</v>
      </c>
      <c r="M404" s="30"/>
      <c r="N404" s="31"/>
      <c r="O404" s="31"/>
      <c r="P404" s="2" t="s">
        <v>2816</v>
      </c>
      <c r="Q404" s="29"/>
      <c r="R404" s="67"/>
      <c r="S404" s="67"/>
      <c r="T404" s="67"/>
      <c r="U404" s="2" t="str" cm="1">
        <f t="array" ref="U404">_xlfn.TEXTJOIN(", ", TRUE, IF(Y404:CG404="X", $Y$3:$CG$3, ""))</f>
        <v/>
      </c>
      <c r="V404" s="18" t="str" cm="1">
        <f t="array" ref="V404">_xlfn.TEXTJOIN(", ", TRUE, IF(Y404:CG404="X", $Y$2:$CG$2, ""))</f>
        <v/>
      </c>
      <c r="W404" s="2" t="str" cm="1">
        <f t="array" ref="W404">_xlfn.TEXTJOIN(", ", TRUE, IF(CH404:CS404="X", $CH$3:$CS$3, ""))</f>
        <v/>
      </c>
      <c r="X404" s="2" t="str" cm="1">
        <f t="array" ref="X404">_xlfn.TEXTJOIN(", ", TRUE, IF(CT404:CX404="X", $CT$3:$CX$3, ""))</f>
        <v/>
      </c>
      <c r="BD404" s="49"/>
      <c r="BV404" s="49"/>
      <c r="CT404" s="49"/>
    </row>
    <row r="405" spans="1:102" ht="18.75" customHeight="1" x14ac:dyDescent="0.25">
      <c r="A405" s="8">
        <v>386</v>
      </c>
      <c r="B405" s="65" t="s">
        <v>2797</v>
      </c>
      <c r="C405" s="65" t="s">
        <v>2798</v>
      </c>
      <c r="D405" s="29" t="s">
        <v>2799</v>
      </c>
      <c r="E405" s="29" t="s">
        <v>2800</v>
      </c>
      <c r="F405" s="67">
        <v>27383</v>
      </c>
      <c r="G405" s="8">
        <f ca="1">DATEDIF(F405, TODAY(), "Y")</f>
        <v>51</v>
      </c>
      <c r="H405" s="2" t="s">
        <v>585</v>
      </c>
      <c r="I405" s="65" t="s">
        <v>2817</v>
      </c>
      <c r="J405" s="65"/>
      <c r="L405" s="1">
        <v>656770298</v>
      </c>
      <c r="M405" s="30"/>
      <c r="N405" s="31"/>
      <c r="O405" s="31"/>
      <c r="P405" s="2" t="s">
        <v>2818</v>
      </c>
      <c r="Q405" s="2"/>
      <c r="R405" s="18"/>
      <c r="S405" s="18"/>
      <c r="T405" s="18"/>
      <c r="U405" s="2" t="str" cm="1">
        <f t="array" ref="U405">_xlfn.TEXTJOIN(", ", TRUE, IF(Y405:CG405="X", $Y$3:$CG$3, ""))</f>
        <v/>
      </c>
      <c r="V405" s="18" t="str" cm="1">
        <f t="array" ref="V405">_xlfn.TEXTJOIN(", ", TRUE, IF(Y405:CG405="X", $Y$2:$CG$2, ""))</f>
        <v/>
      </c>
      <c r="W405" s="2" t="str" cm="1">
        <f t="array" ref="W405">_xlfn.TEXTJOIN(", ", TRUE, IF(CH405:CS405="X", $CH$3:$CS$3, ""))</f>
        <v/>
      </c>
      <c r="X405" s="2" t="str" cm="1">
        <f t="array" ref="X405">_xlfn.TEXTJOIN(", ", TRUE, IF(CT405:CX405="X", $CT$3:$CX$3, ""))</f>
        <v/>
      </c>
      <c r="BX405" s="49"/>
      <c r="BY405" s="49"/>
      <c r="CA405" s="49"/>
      <c r="CJ405" s="49"/>
      <c r="CP405" s="49"/>
      <c r="CQ405" s="49"/>
      <c r="CR405" s="49"/>
    </row>
    <row r="406" spans="1:102" ht="18.75" customHeight="1" x14ac:dyDescent="0.25">
      <c r="A406" s="8">
        <v>387</v>
      </c>
      <c r="B406" s="65" t="s">
        <v>2805</v>
      </c>
      <c r="C406" s="65" t="s">
        <v>2806</v>
      </c>
      <c r="D406" s="29" t="s">
        <v>2807</v>
      </c>
      <c r="E406" s="29" t="s">
        <v>2808</v>
      </c>
      <c r="F406" s="18">
        <v>22030</v>
      </c>
      <c r="G406" s="8">
        <f ca="1">DATEDIF(F406, TODAY(), "Y")</f>
        <v>66</v>
      </c>
      <c r="H406" s="2" t="s">
        <v>2308</v>
      </c>
      <c r="I406" s="2" t="s">
        <v>2819</v>
      </c>
      <c r="J406" s="29"/>
      <c r="L406" s="1">
        <v>669214792</v>
      </c>
      <c r="M406" s="30"/>
      <c r="N406" s="31"/>
      <c r="O406" s="31"/>
      <c r="P406" s="2" t="s">
        <v>2820</v>
      </c>
      <c r="Q406" s="2"/>
      <c r="R406" s="18"/>
      <c r="S406" s="18"/>
      <c r="T406" s="18"/>
      <c r="U406" s="2" t="str" cm="1">
        <f t="array" ref="U406">_xlfn.TEXTJOIN(", ", TRUE, IF(Y406:CG406="X", $Y$3:$CG$3, ""))</f>
        <v/>
      </c>
      <c r="V406" s="18" t="str" cm="1">
        <f t="array" ref="V406">_xlfn.TEXTJOIN(", ", TRUE, IF(Y406:CG406="X", $Y$2:$CG$2, ""))</f>
        <v/>
      </c>
      <c r="W406" s="2" t="str" cm="1">
        <f t="array" ref="W406">_xlfn.TEXTJOIN(", ", TRUE, IF(CH406:CS406="X", $CH$3:$CS$3, ""))</f>
        <v/>
      </c>
      <c r="X406" s="2" t="str" cm="1">
        <f t="array" ref="X406">_xlfn.TEXTJOIN(", ", TRUE, IF(CT406:CX406="X", $CT$3:$CX$3, ""))</f>
        <v/>
      </c>
      <c r="Z406" s="49"/>
      <c r="AC406" s="49"/>
      <c r="AK406" s="49"/>
      <c r="AR406" s="49"/>
      <c r="AZ406" s="49"/>
      <c r="BO406" s="49"/>
      <c r="CJ406" s="49"/>
      <c r="CR406" s="49"/>
    </row>
    <row r="407" spans="1:102" ht="18.75" customHeight="1" x14ac:dyDescent="0.25">
      <c r="A407" s="8">
        <v>388</v>
      </c>
      <c r="B407" s="65" t="s">
        <v>2811</v>
      </c>
      <c r="C407" s="65" t="s">
        <v>2812</v>
      </c>
      <c r="D407" s="29" t="s">
        <v>2813</v>
      </c>
      <c r="E407" s="29" t="s">
        <v>2814</v>
      </c>
      <c r="F407" s="18"/>
      <c r="G407" s="8">
        <f ca="1">DATEDIF(F407, TODAY(), "Y")</f>
        <v>126</v>
      </c>
      <c r="H407" s="2" t="s">
        <v>2448</v>
      </c>
      <c r="I407" s="2" t="s">
        <v>2821</v>
      </c>
      <c r="J407" s="29"/>
      <c r="L407" s="1"/>
      <c r="M407" s="30"/>
      <c r="N407" s="31"/>
      <c r="O407" s="31"/>
      <c r="P407" s="49"/>
      <c r="Q407" s="49"/>
      <c r="R407" s="49"/>
      <c r="S407" s="49"/>
      <c r="T407" s="49"/>
      <c r="U407" s="2" t="str" cm="1">
        <f t="array" ref="U407">_xlfn.TEXTJOIN(", ", TRUE, IF(Y407:CG407="X", $Y$3:$CG$3, ""))</f>
        <v/>
      </c>
      <c r="V407" s="18" t="str" cm="1">
        <f t="array" ref="V407">_xlfn.TEXTJOIN(", ", TRUE, IF(Y407:CG407="X", $Y$2:$CG$2, ""))</f>
        <v/>
      </c>
      <c r="W407" s="2" t="str" cm="1">
        <f t="array" ref="W407">_xlfn.TEXTJOIN(", ", TRUE, IF(CH407:CS407="X", $CH$3:$CS$3, ""))</f>
        <v/>
      </c>
      <c r="X407" s="2" t="str" cm="1">
        <f t="array" ref="X407">_xlfn.TEXTJOIN(", ", TRUE, IF(CT407:CX407="X", $CT$3:$CX$3, ""))</f>
        <v/>
      </c>
      <c r="AJ407" s="49"/>
      <c r="CL407" s="49"/>
      <c r="CR407" s="49"/>
    </row>
    <row r="408" spans="1:102" ht="18.75" customHeight="1" x14ac:dyDescent="0.25">
      <c r="A408" s="8">
        <v>389</v>
      </c>
      <c r="B408" s="65" t="s">
        <v>2811</v>
      </c>
      <c r="C408" s="65" t="s">
        <v>2812</v>
      </c>
      <c r="D408" s="29" t="s">
        <v>2813</v>
      </c>
      <c r="E408" s="29" t="s">
        <v>2814</v>
      </c>
      <c r="F408" s="18"/>
      <c r="G408" s="8">
        <f ca="1">DATEDIF(F408, TODAY(), "Y")</f>
        <v>126</v>
      </c>
      <c r="H408" s="2" t="s">
        <v>2448</v>
      </c>
      <c r="I408" s="2" t="s">
        <v>2822</v>
      </c>
      <c r="J408" s="29"/>
      <c r="L408" s="1"/>
      <c r="M408" s="30"/>
      <c r="N408" s="31"/>
      <c r="O408" s="31"/>
      <c r="P408" s="49"/>
      <c r="Q408" s="49"/>
      <c r="R408" s="49"/>
      <c r="S408" s="49"/>
      <c r="T408" s="49"/>
      <c r="U408" s="2" t="str" cm="1">
        <f t="array" ref="U408">_xlfn.TEXTJOIN(", ", TRUE, IF(Y408:CG408="X", $Y$3:$CG$3, ""))</f>
        <v/>
      </c>
      <c r="V408" s="18" t="str" cm="1">
        <f t="array" ref="V408">_xlfn.TEXTJOIN(", ", TRUE, IF(Y408:CG408="X", $Y$2:$CG$2, ""))</f>
        <v/>
      </c>
      <c r="W408" s="2" t="str" cm="1">
        <f t="array" ref="W408">_xlfn.TEXTJOIN(", ", TRUE, IF(CH408:CS408="X", $CH$3:$CS$3, ""))</f>
        <v/>
      </c>
      <c r="X408" s="2" t="str" cm="1">
        <f t="array" ref="X408">_xlfn.TEXTJOIN(", ", TRUE, IF(CT408:CX408="X", $CT$3:$CX$3, ""))</f>
        <v/>
      </c>
      <c r="AR408" s="49"/>
      <c r="AS408" s="49"/>
      <c r="AX408" s="49"/>
      <c r="AZ408" s="49"/>
      <c r="BO408" s="49"/>
      <c r="CH408" s="49"/>
      <c r="CI408" s="49"/>
      <c r="CR408" s="49"/>
    </row>
    <row r="409" spans="1:102" ht="18.75" customHeight="1" x14ac:dyDescent="0.25">
      <c r="A409" s="8">
        <v>390</v>
      </c>
      <c r="B409" s="65" t="s">
        <v>2811</v>
      </c>
      <c r="C409" s="65" t="s">
        <v>2812</v>
      </c>
      <c r="D409" s="29" t="s">
        <v>2813</v>
      </c>
      <c r="E409" s="29" t="s">
        <v>2814</v>
      </c>
      <c r="F409" s="18">
        <v>24108</v>
      </c>
      <c r="G409" s="8">
        <f ca="1">DATEDIF(F409, TODAY(), "Y")</f>
        <v>60</v>
      </c>
      <c r="H409" s="2" t="s">
        <v>2448</v>
      </c>
      <c r="I409" s="2" t="s">
        <v>2823</v>
      </c>
      <c r="J409" s="29"/>
      <c r="L409" s="1">
        <v>626958013</v>
      </c>
      <c r="M409" s="30"/>
      <c r="N409" s="31"/>
      <c r="O409" s="31"/>
      <c r="P409" s="2" t="s">
        <v>2824</v>
      </c>
      <c r="Q409" s="2"/>
      <c r="R409" s="18"/>
      <c r="S409" s="18"/>
      <c r="T409" s="18"/>
      <c r="U409" s="2" t="str" cm="1">
        <f t="array" ref="U409">_xlfn.TEXTJOIN(", ", TRUE, IF(Y409:CG409="X", $Y$3:$CG$3, ""))</f>
        <v/>
      </c>
      <c r="V409" s="18" t="str" cm="1">
        <f t="array" ref="V409">_xlfn.TEXTJOIN(", ", TRUE, IF(Y409:CG409="X", $Y$2:$CG$2, ""))</f>
        <v/>
      </c>
      <c r="W409" s="2" t="str" cm="1">
        <f t="array" ref="W409">_xlfn.TEXTJOIN(", ", TRUE, IF(CH409:CS409="X", $CH$3:$CS$3, ""))</f>
        <v/>
      </c>
      <c r="X409" s="2" t="str" cm="1">
        <f t="array" ref="X409">_xlfn.TEXTJOIN(", ", TRUE, IF(CT409:CX409="X", $CT$3:$CX$3, ""))</f>
        <v/>
      </c>
      <c r="BX409" s="49"/>
      <c r="CH409" s="49"/>
      <c r="CR409" s="49"/>
    </row>
    <row r="410" spans="1:102" ht="18.75" customHeight="1" x14ac:dyDescent="0.25">
      <c r="A410" s="8">
        <v>392</v>
      </c>
      <c r="B410" s="65" t="s">
        <v>2828</v>
      </c>
      <c r="C410" s="65" t="s">
        <v>2829</v>
      </c>
      <c r="D410" s="29" t="s">
        <v>2830</v>
      </c>
      <c r="E410" s="29" t="s">
        <v>2831</v>
      </c>
      <c r="F410" s="18">
        <v>12390</v>
      </c>
      <c r="G410" s="8">
        <f ca="1">DATEDIF(F410, TODAY(), "Y")</f>
        <v>92</v>
      </c>
      <c r="H410" s="2" t="s">
        <v>476</v>
      </c>
      <c r="I410" s="2" t="s">
        <v>2832</v>
      </c>
      <c r="J410" s="29"/>
      <c r="L410" s="1"/>
      <c r="M410" s="30"/>
      <c r="N410" s="31"/>
      <c r="O410" s="31"/>
      <c r="P410" s="49"/>
      <c r="Q410" s="38"/>
      <c r="R410" s="67"/>
      <c r="S410" s="67"/>
      <c r="T410" s="67"/>
      <c r="U410" s="2" t="str" cm="1">
        <f t="array" ref="U410">_xlfn.TEXTJOIN(", ", TRUE, IF(Y410:CG410="X", $Y$3:$CG$3, ""))</f>
        <v/>
      </c>
      <c r="V410" s="18" t="str" cm="1">
        <f t="array" ref="V410">_xlfn.TEXTJOIN(", ", TRUE, IF(Y410:CG410="X", $Y$2:$CG$2, ""))</f>
        <v/>
      </c>
      <c r="W410" s="2" t="str" cm="1">
        <f t="array" ref="W410">_xlfn.TEXTJOIN(", ", TRUE, IF(CH410:CS410="X", $CH$3:$CS$3, ""))</f>
        <v/>
      </c>
      <c r="X410" s="2" t="str" cm="1">
        <f t="array" ref="X410">_xlfn.TEXTJOIN(", ", TRUE, IF(CT410:CX410="X", $CT$3:$CX$3, ""))</f>
        <v/>
      </c>
      <c r="CT410" s="49"/>
    </row>
    <row r="411" spans="1:102" ht="18.75" customHeight="1" x14ac:dyDescent="0.25">
      <c r="A411" s="8">
        <v>393</v>
      </c>
      <c r="B411" s="65" t="s">
        <v>2828</v>
      </c>
      <c r="C411" s="65" t="s">
        <v>2829</v>
      </c>
      <c r="D411" s="29" t="s">
        <v>2830</v>
      </c>
      <c r="E411" s="29" t="s">
        <v>2831</v>
      </c>
      <c r="F411" s="18"/>
      <c r="G411" s="8">
        <f ca="1">DATEDIF(F411, TODAY(), "Y")</f>
        <v>126</v>
      </c>
      <c r="H411" s="2" t="s">
        <v>476</v>
      </c>
      <c r="I411" s="2" t="s">
        <v>2833</v>
      </c>
      <c r="J411" s="29"/>
      <c r="L411" s="1"/>
      <c r="M411" s="30"/>
      <c r="N411" s="31"/>
      <c r="O411" s="31"/>
      <c r="P411" s="49"/>
      <c r="Q411" s="49"/>
      <c r="R411" s="49"/>
      <c r="S411" s="49"/>
      <c r="T411" s="49"/>
      <c r="U411" s="2" t="str" cm="1">
        <f t="array" ref="U411">_xlfn.TEXTJOIN(", ", TRUE, IF(Y411:CG411="X", $Y$3:$CG$3, ""))</f>
        <v/>
      </c>
      <c r="V411" s="18" t="str" cm="1">
        <f t="array" ref="V411">_xlfn.TEXTJOIN(", ", TRUE, IF(Y411:CG411="X", $Y$2:$CG$2, ""))</f>
        <v/>
      </c>
      <c r="W411" s="2" t="str" cm="1">
        <f t="array" ref="W411">_xlfn.TEXTJOIN(", ", TRUE, IF(CH411:CS411="X", $CH$3:$CS$3, ""))</f>
        <v/>
      </c>
      <c r="X411" s="2" t="str" cm="1">
        <f t="array" ref="X411">_xlfn.TEXTJOIN(", ", TRUE, IF(CT411:CX411="X", $CT$3:$CX$3, ""))</f>
        <v/>
      </c>
      <c r="AJ411" s="49"/>
      <c r="AZ411" s="49"/>
      <c r="CR411" s="49"/>
    </row>
    <row r="412" spans="1:102" ht="18.75" customHeight="1" x14ac:dyDescent="0.25">
      <c r="A412" s="8">
        <v>394</v>
      </c>
      <c r="B412" s="65" t="s">
        <v>2811</v>
      </c>
      <c r="C412" s="65" t="s">
        <v>2812</v>
      </c>
      <c r="D412" s="29" t="s">
        <v>2813</v>
      </c>
      <c r="E412" s="29" t="s">
        <v>2814</v>
      </c>
      <c r="F412" s="18">
        <v>14406</v>
      </c>
      <c r="G412" s="8">
        <f ca="1">DATEDIF(F412, TODAY(), "Y")</f>
        <v>87</v>
      </c>
      <c r="H412" s="2" t="s">
        <v>2448</v>
      </c>
      <c r="I412" s="2" t="s">
        <v>2834</v>
      </c>
      <c r="J412" s="29"/>
      <c r="K412" s="65"/>
      <c r="L412" s="1">
        <v>605759224</v>
      </c>
      <c r="M412" s="30"/>
      <c r="N412" s="31"/>
      <c r="O412" s="31"/>
      <c r="P412" s="2" t="s">
        <v>2835</v>
      </c>
      <c r="Q412" s="2"/>
      <c r="R412" s="18"/>
      <c r="S412" s="18"/>
      <c r="T412" s="18"/>
      <c r="U412" s="2" t="str" cm="1">
        <f t="array" ref="U412">_xlfn.TEXTJOIN(", ", TRUE, IF(Y412:CG412="X", $Y$3:$CG$3, ""))</f>
        <v/>
      </c>
      <c r="V412" s="18" t="str" cm="1">
        <f t="array" ref="V412">_xlfn.TEXTJOIN(", ", TRUE, IF(Y412:CG412="X", $Y$2:$CG$2, ""))</f>
        <v/>
      </c>
      <c r="W412" s="2" t="str" cm="1">
        <f t="array" ref="W412">_xlfn.TEXTJOIN(", ", TRUE, IF(CH412:CS412="X", $CH$3:$CS$3, ""))</f>
        <v/>
      </c>
      <c r="X412" s="2" t="str" cm="1">
        <f t="array" ref="X412">_xlfn.TEXTJOIN(", ", TRUE, IF(CT412:CX412="X", $CT$3:$CX$3, ""))</f>
        <v/>
      </c>
      <c r="Y412" s="65"/>
      <c r="Z412" s="65"/>
      <c r="AA412" s="65"/>
      <c r="AB412" s="65"/>
      <c r="AC412" s="65"/>
      <c r="AD412" s="65"/>
      <c r="AE412" s="65"/>
      <c r="AF412" s="65"/>
      <c r="AG412" s="65"/>
      <c r="AH412" s="65"/>
      <c r="AI412" s="65"/>
      <c r="AJ412" s="65"/>
      <c r="AK412" s="2"/>
      <c r="AL412" s="65"/>
      <c r="AM412" s="65"/>
      <c r="AN412" s="65"/>
      <c r="AO412" s="65"/>
      <c r="AP412" s="65"/>
      <c r="AQ412" s="65"/>
      <c r="AR412" s="65"/>
      <c r="AS412" s="65"/>
      <c r="AT412" s="65"/>
      <c r="AU412" s="65"/>
      <c r="AV412" s="65"/>
      <c r="AW412" s="65"/>
      <c r="AX412" s="65"/>
      <c r="AY412" s="65"/>
      <c r="AZ412" s="2"/>
      <c r="BA412" s="65"/>
      <c r="BB412" s="65"/>
      <c r="BC412" s="65"/>
      <c r="BD412" s="65"/>
      <c r="BE412" s="65"/>
      <c r="BF412" s="65"/>
      <c r="BG412" s="65"/>
      <c r="BH412" s="65"/>
      <c r="BI412" s="65"/>
      <c r="BJ412" s="65"/>
      <c r="BK412" s="65"/>
      <c r="BL412" s="65"/>
      <c r="BM412" s="65"/>
      <c r="BN412" s="65"/>
      <c r="BO412" s="65"/>
      <c r="BP412" s="65"/>
      <c r="BQ412" s="65"/>
      <c r="BR412" s="65"/>
      <c r="BS412" s="65"/>
      <c r="BT412" s="65"/>
      <c r="BU412" s="65"/>
      <c r="BV412" s="65"/>
      <c r="BW412" s="65"/>
      <c r="BX412" s="65"/>
      <c r="BY412" s="65"/>
      <c r="BZ412" s="65"/>
      <c r="CA412" s="65"/>
      <c r="CB412" s="65"/>
      <c r="CC412" s="65"/>
      <c r="CD412" s="65"/>
      <c r="CE412" s="65"/>
      <c r="CF412" s="65"/>
      <c r="CG412" s="65"/>
      <c r="CH412" s="65"/>
      <c r="CI412" s="65"/>
      <c r="CJ412" s="65"/>
      <c r="CK412" s="65"/>
      <c r="CL412" s="65"/>
      <c r="CM412" s="65"/>
      <c r="CN412" s="65"/>
      <c r="CO412" s="65"/>
      <c r="CP412" s="65"/>
      <c r="CQ412" s="65"/>
      <c r="CR412" s="2"/>
      <c r="CS412" s="65"/>
      <c r="CT412" s="65"/>
      <c r="CU412" s="65"/>
      <c r="CV412" s="65"/>
      <c r="CW412" s="65"/>
      <c r="CX412" s="65"/>
    </row>
    <row r="413" spans="1:102" ht="18.75" customHeight="1" x14ac:dyDescent="0.25">
      <c r="A413" s="8">
        <v>400</v>
      </c>
      <c r="D413" s="29"/>
      <c r="E413" s="29"/>
      <c r="G413" s="8">
        <f ca="1">DATEDIF(F413, TODAY(), "Y")</f>
        <v>126</v>
      </c>
      <c r="H413" s="2" t="s">
        <v>803</v>
      </c>
      <c r="L413" s="1"/>
      <c r="M413" s="30"/>
      <c r="N413" s="31"/>
      <c r="O413" s="31"/>
      <c r="P413" s="2" t="s">
        <v>2848</v>
      </c>
      <c r="Q413" s="29" t="s">
        <v>3020</v>
      </c>
      <c r="U413" s="2" t="str" cm="1">
        <f t="array" ref="U413">_xlfn.TEXTJOIN(", ", TRUE, IF(Y413:CG413="X", $Y$3:$CG$3, ""))</f>
        <v>Oilaskoak, Barazkiak aire librean, Fruta, Intxaurrak</v>
      </c>
      <c r="V413" s="18" t="str" cm="1">
        <f t="array" ref="V413">_xlfn.TEXTJOIN(", ", TRUE, IF(Y413:CG413="X", $Y$2:$CG$2, ""))</f>
        <v>HARAGIA, BARAZKIAK, FRUTA, FRUITU LEHORRAK</v>
      </c>
      <c r="W413" s="2" t="str" cm="1">
        <f t="array" ref="W413">_xlfn.TEXTJOIN(", ", TRUE, IF(CH413:CS413="X", $CH$3:$CS$3, ""))</f>
        <v/>
      </c>
      <c r="X413" s="2" t="str" cm="1">
        <f t="array" ref="X413">_xlfn.TEXTJOIN(", ", TRUE, IF(CT413:CX413="X", $CT$3:$CX$3, ""))</f>
        <v>Ekologikoa</v>
      </c>
      <c r="AN413" s="65" t="s">
        <v>764</v>
      </c>
      <c r="AS413" s="65" t="s">
        <v>764</v>
      </c>
      <c r="BD413" s="65" t="s">
        <v>764</v>
      </c>
      <c r="BO413" s="65" t="s">
        <v>764</v>
      </c>
      <c r="BX413" s="49"/>
      <c r="CT413" s="2" t="s">
        <v>764</v>
      </c>
    </row>
    <row r="414" spans="1:102" ht="18.75" customHeight="1" x14ac:dyDescent="0.25">
      <c r="A414" s="8">
        <v>404</v>
      </c>
      <c r="D414" s="29"/>
      <c r="E414" s="29"/>
      <c r="F414" s="67"/>
      <c r="G414" s="8">
        <f ca="1">DATEDIF(F414, TODAY(), "Y")</f>
        <v>126</v>
      </c>
      <c r="H414" s="2" t="s">
        <v>532</v>
      </c>
      <c r="I414" s="65" t="s">
        <v>2858</v>
      </c>
      <c r="J414" s="65"/>
      <c r="L414" s="1">
        <v>600099811</v>
      </c>
      <c r="M414" s="30"/>
      <c r="N414" s="31"/>
      <c r="O414" s="31"/>
      <c r="P414" s="2" t="s">
        <v>2859</v>
      </c>
      <c r="Q414" s="29" t="s">
        <v>3019</v>
      </c>
      <c r="R414" s="65" t="s">
        <v>772</v>
      </c>
      <c r="S414" s="65"/>
      <c r="T414" s="65"/>
      <c r="U414" s="2" t="str" cm="1">
        <f t="array" ref="U414">_xlfn.TEXTJOIN(", ", TRUE, IF(Y414:CG414="X", $Y$3:$CG$3, ""))</f>
        <v>Oilaskoak, Arrautzak, Fruta, Madaria, Kakia, Intxaurrak</v>
      </c>
      <c r="V414" s="18" t="str" cm="1">
        <f t="array" ref="V414">_xlfn.TEXTJOIN(", ", TRUE, IF(Y414:CG414="X", $Y$2:$CG$2, ""))</f>
        <v>HARAGIA, OILOAK, FRUTA, FRUTA, FRUTA, FRUITU LEHORRAK</v>
      </c>
      <c r="W414" s="2" t="str" cm="1">
        <f t="array" ref="W414">_xlfn.TEXTJOIN(", ", TRUE, IF(CH414:CS414="X", $CH$3:$CS$3, ""))</f>
        <v/>
      </c>
      <c r="X414" s="2" t="str" cm="1">
        <f t="array" ref="X414">_xlfn.TEXTJOIN(", ", TRUE, IF(CT414:CX414="X", $CT$3:$CX$3, ""))</f>
        <v/>
      </c>
      <c r="AN414" s="65" t="s">
        <v>764</v>
      </c>
      <c r="AR414" s="65" t="s">
        <v>764</v>
      </c>
      <c r="BD414" s="2" t="s">
        <v>764</v>
      </c>
      <c r="BG414" s="65" t="s">
        <v>764</v>
      </c>
      <c r="BM414" s="65" t="s">
        <v>764</v>
      </c>
      <c r="BO414" s="65" t="s">
        <v>764</v>
      </c>
      <c r="CT414" s="49"/>
    </row>
    <row r="415" spans="1:102" ht="18.75" customHeight="1" x14ac:dyDescent="0.25">
      <c r="A415" s="8">
        <v>405</v>
      </c>
      <c r="D415" s="29"/>
      <c r="E415" s="29"/>
      <c r="F415" s="67"/>
      <c r="G415" s="8">
        <f ca="1">DATEDIF(F415, TODAY(), "Y")</f>
        <v>126</v>
      </c>
      <c r="H415" s="2" t="s">
        <v>532</v>
      </c>
      <c r="I415" s="2" t="s">
        <v>2860</v>
      </c>
      <c r="J415" s="29"/>
      <c r="L415" s="1">
        <v>943886063</v>
      </c>
      <c r="M415" s="30"/>
      <c r="N415" s="31"/>
      <c r="O415" s="31"/>
      <c r="P415" s="2" t="s">
        <v>2861</v>
      </c>
      <c r="Q415" s="29" t="s">
        <v>3020</v>
      </c>
      <c r="R415" s="65" t="s">
        <v>1216</v>
      </c>
      <c r="S415" s="65"/>
      <c r="T415" s="65"/>
      <c r="U415" s="2" t="str" cm="1">
        <f t="array" ref="U415">_xlfn.TEXTJOIN(", ", TRUE, IF(Y415:CG415="X", $Y$3:$CG$3, ""))</f>
        <v>Babarrunak</v>
      </c>
      <c r="V415" s="18" t="str" cm="1">
        <f t="array" ref="V415">_xlfn.TEXTJOIN(", ", TRUE, IF(Y415:CG415="X", $Y$2:$CG$2, ""))</f>
        <v>LEKALEAK</v>
      </c>
      <c r="W415" s="2" t="str" cm="1">
        <f t="array" ref="W415">_xlfn.TEXTJOIN(", ", TRUE, IF(CH415:CS415="X", $CH$3:$CS$3, ""))</f>
        <v>Etxetik, Bertatik Bertara</v>
      </c>
      <c r="X415" s="2" t="str" cm="1">
        <f t="array" ref="X415">_xlfn.TEXTJOIN(", ", TRUE, IF(CT415:CX415="X", $CT$3:$CX$3, ""))</f>
        <v/>
      </c>
      <c r="AZ415" s="65" t="s">
        <v>764</v>
      </c>
      <c r="BA415" s="49"/>
      <c r="BC415" s="49"/>
      <c r="CI415" s="65" t="s">
        <v>764</v>
      </c>
      <c r="CR415" s="65" t="s">
        <v>764</v>
      </c>
      <c r="CT415" s="49"/>
    </row>
    <row r="416" spans="1:102" ht="18.75" customHeight="1" x14ac:dyDescent="0.25">
      <c r="A416" s="8">
        <v>408</v>
      </c>
      <c r="D416" s="29"/>
      <c r="E416" s="29"/>
      <c r="F416" s="67"/>
      <c r="G416" s="8">
        <f ca="1">DATEDIF(F416, TODAY(), "Y")</f>
        <v>126</v>
      </c>
      <c r="H416" s="2" t="s">
        <v>537</v>
      </c>
      <c r="I416" s="65" t="s">
        <v>2865</v>
      </c>
      <c r="J416" s="65"/>
      <c r="L416" s="1" t="s">
        <v>2866</v>
      </c>
      <c r="M416" s="30"/>
      <c r="N416" s="31"/>
      <c r="O416" s="31"/>
      <c r="P416" s="2" t="s">
        <v>2867</v>
      </c>
      <c r="Q416" s="29" t="s">
        <v>3019</v>
      </c>
      <c r="R416" s="65" t="s">
        <v>1216</v>
      </c>
      <c r="S416" s="65"/>
      <c r="T416" s="65"/>
      <c r="U416" s="2" t="str" cm="1">
        <f t="array" ref="U416">_xlfn.TEXTJOIN(", ", TRUE, IF(Y416:CG416="X", $Y$3:$CG$3, ""))</f>
        <v>Arrautzak, Barazkiak aire librean, Piperminak, Mermelada, Fruta, Intxaurrak</v>
      </c>
      <c r="V416" s="18" t="str" cm="1">
        <f t="array" ref="V416">_xlfn.TEXTJOIN(", ", TRUE, IF(Y416:CG416="X", $Y$2:$CG$2, ""))</f>
        <v>OILOAK, BARAZKIAK, ERATORRIAK, ERATORRIAK, FRUTA, FRUITU LEHORRAK</v>
      </c>
      <c r="W416" s="2" t="str" cm="1">
        <f t="array" ref="W416">_xlfn.TEXTJOIN(", ", TRUE, IF(CH416:CS416="X", $CH$3:$CS$3, ""))</f>
        <v>Azokak, Etxetik, Dendetan, Jatetxeetara, Bertatik Bertara</v>
      </c>
      <c r="X416" s="2" t="str" cm="1">
        <f t="array" ref="X416">_xlfn.TEXTJOIN(", ", TRUE, IF(CT416:CX416="X", $CT$3:$CX$3, ""))</f>
        <v/>
      </c>
      <c r="AR416" s="2" t="s">
        <v>764</v>
      </c>
      <c r="AS416" s="65" t="s">
        <v>764</v>
      </c>
      <c r="AW416" s="65" t="s">
        <v>764</v>
      </c>
      <c r="AX416" s="65" t="s">
        <v>764</v>
      </c>
      <c r="BD416" s="65" t="s">
        <v>764</v>
      </c>
      <c r="BO416" s="65" t="s">
        <v>764</v>
      </c>
      <c r="CH416" s="65" t="s">
        <v>764</v>
      </c>
      <c r="CI416" s="65" t="s">
        <v>764</v>
      </c>
      <c r="CJ416" s="65" t="s">
        <v>764</v>
      </c>
      <c r="CK416" s="65" t="s">
        <v>764</v>
      </c>
      <c r="CR416" s="65" t="s">
        <v>764</v>
      </c>
      <c r="CT416" s="49"/>
    </row>
    <row r="417" spans="1:103" ht="18.75" customHeight="1" x14ac:dyDescent="0.25">
      <c r="A417" s="8">
        <v>409</v>
      </c>
      <c r="D417" s="29"/>
      <c r="E417" s="29"/>
      <c r="F417" s="67"/>
      <c r="G417" s="8">
        <f ca="1">DATEDIF(F417, TODAY(), "Y")</f>
        <v>126</v>
      </c>
      <c r="H417" s="2" t="s">
        <v>537</v>
      </c>
      <c r="I417" s="65" t="s">
        <v>2868</v>
      </c>
      <c r="J417" s="65"/>
      <c r="L417" s="1" t="s">
        <v>2869</v>
      </c>
      <c r="M417" s="30"/>
      <c r="N417" s="31"/>
      <c r="O417" s="31"/>
      <c r="P417" s="2" t="s">
        <v>2870</v>
      </c>
      <c r="Q417" s="29" t="s">
        <v>3020</v>
      </c>
      <c r="R417" s="65" t="s">
        <v>1216</v>
      </c>
      <c r="S417" s="65"/>
      <c r="T417" s="65"/>
      <c r="U417" s="2" t="str" cm="1">
        <f t="array" ref="U417">_xlfn.TEXTJOIN(", ", TRUE, IF(Y417:CG417="X", $Y$3:$CG$3, ""))</f>
        <v>Fruta</v>
      </c>
      <c r="V417" s="18" t="str" cm="1">
        <f t="array" ref="V417">_xlfn.TEXTJOIN(", ", TRUE, IF(Y417:CG417="X", $Y$2:$CG$2, ""))</f>
        <v>FRUTA</v>
      </c>
      <c r="W417" s="2" t="str" cm="1">
        <f t="array" ref="W417">_xlfn.TEXTJOIN(", ", TRUE, IF(CH417:CS417="X", $CH$3:$CS$3, ""))</f>
        <v>Bertatik Bertara</v>
      </c>
      <c r="X417" s="2" t="str" cm="1">
        <f t="array" ref="X417">_xlfn.TEXTJOIN(", ", TRUE, IF(CT417:CX417="X", $CT$3:$CX$3, ""))</f>
        <v>Ekologikoa</v>
      </c>
      <c r="AC417" s="49"/>
      <c r="AE417" s="49"/>
      <c r="BD417" s="65" t="s">
        <v>764</v>
      </c>
      <c r="CF417" s="49"/>
      <c r="CR417" s="65" t="s">
        <v>764</v>
      </c>
      <c r="CT417" s="2" t="s">
        <v>764</v>
      </c>
    </row>
    <row r="418" spans="1:103" ht="18.75" customHeight="1" x14ac:dyDescent="0.25">
      <c r="A418" s="8">
        <v>412</v>
      </c>
      <c r="D418" s="29" t="s">
        <v>3003</v>
      </c>
      <c r="E418" s="29" t="s">
        <v>3004</v>
      </c>
      <c r="F418" s="32">
        <v>33604</v>
      </c>
      <c r="G418" s="8">
        <f ca="1">DATEDIF(F418, TODAY(), "Y")</f>
        <v>34</v>
      </c>
      <c r="H418" s="2" t="s">
        <v>464</v>
      </c>
      <c r="K418" s="49" t="s">
        <v>2986</v>
      </c>
      <c r="L418" s="1">
        <v>943097334</v>
      </c>
      <c r="M418" s="30"/>
      <c r="N418" s="31"/>
      <c r="O418" s="31"/>
      <c r="P418" s="2" t="s">
        <v>2874</v>
      </c>
      <c r="Q418" s="29" t="s">
        <v>3020</v>
      </c>
      <c r="R418" s="65" t="s">
        <v>772</v>
      </c>
      <c r="S418" s="65"/>
      <c r="T418" s="65"/>
      <c r="U418" s="2" t="str" cm="1">
        <f t="array" ref="U418">_xlfn.TEXTJOIN(", ", TRUE, IF(Y418:CG418="X", $Y$3:$CG$3, ""))</f>
        <v>Ogia, Opilak, Pastak</v>
      </c>
      <c r="V418" s="18" t="str" cm="1">
        <f t="array" ref="V418">_xlfn.TEXTJOIN(", ", TRUE, IF(Y418:CG418="X", $Y$2:$CG$2, ""))</f>
        <v>OGIGINTZA, OGIGINTZA, OGIGINTZA</v>
      </c>
      <c r="W418" s="2" t="str" cm="1">
        <f t="array" ref="W418">_xlfn.TEXTJOIN(", ", TRUE, IF(CH418:CS418="X", $CH$3:$CS$3, ""))</f>
        <v>Dendetan, Biziola, Bertatik Bertara</v>
      </c>
      <c r="X418" s="2" t="str" cm="1">
        <f t="array" ref="X418">_xlfn.TEXTJOIN(", ", TRUE, IF(CT418:CX418="X", $CT$3:$CX$3, ""))</f>
        <v/>
      </c>
      <c r="BA418" s="49"/>
      <c r="BC418" s="49"/>
      <c r="BX418" s="65" t="s">
        <v>764</v>
      </c>
      <c r="BY418" s="65" t="s">
        <v>764</v>
      </c>
      <c r="CA418" s="65" t="s">
        <v>764</v>
      </c>
      <c r="CJ418" s="65" t="s">
        <v>764</v>
      </c>
      <c r="CP418" s="65" t="s">
        <v>764</v>
      </c>
      <c r="CQ418" s="65"/>
      <c r="CR418" s="65" t="s">
        <v>764</v>
      </c>
      <c r="CT418" s="49"/>
    </row>
    <row r="419" spans="1:103" ht="18.75" customHeight="1" x14ac:dyDescent="0.25">
      <c r="A419" s="8">
        <v>413</v>
      </c>
      <c r="D419" s="29" t="s">
        <v>3123</v>
      </c>
      <c r="E419" s="29" t="s">
        <v>3124</v>
      </c>
      <c r="F419" s="67"/>
      <c r="G419" s="8">
        <f ca="1">DATEDIF(F419, TODAY(), "Y")</f>
        <v>126</v>
      </c>
      <c r="H419" s="2" t="s">
        <v>468</v>
      </c>
      <c r="I419" s="65" t="s">
        <v>2875</v>
      </c>
      <c r="J419" s="65"/>
      <c r="K419" s="49"/>
      <c r="L419" s="1">
        <v>943731741</v>
      </c>
      <c r="M419" s="30"/>
      <c r="N419" s="31"/>
      <c r="O419" s="31"/>
      <c r="P419" s="2" t="s">
        <v>2876</v>
      </c>
      <c r="Q419" s="2" t="s">
        <v>3019</v>
      </c>
      <c r="R419" s="2" t="s">
        <v>1216</v>
      </c>
      <c r="S419" s="2"/>
      <c r="T419" s="2"/>
      <c r="U419" s="2" t="str" cm="1">
        <f t="array" ref="U419">_xlfn.TEXTJOIN(", ", TRUE, IF(Y419:CG419="X", $Y$3:$CG$3, ""))</f>
        <v>Ardi esnea, Ardi gazta, Ardi haragia, Arrautzak, Babarrunak, Intxaurrak</v>
      </c>
      <c r="V419" s="18" t="str" cm="1">
        <f t="array" ref="V419">_xlfn.TEXTJOIN(", ", TRUE, IF(Y419:CG419="X", $Y$2:$CG$2, ""))</f>
        <v>ESNEKIAK, ESNEKIAK, HARAGIA, OILOAK, LEKALEAK, FRUITU LEHORRAK</v>
      </c>
      <c r="W419" s="2" t="str" cm="1">
        <f t="array" ref="W419">_xlfn.TEXTJOIN(", ", TRUE, IF(CH419:CS419="X", $CH$3:$CS$3, ""))</f>
        <v>Dendetan, Bertatik Bertara</v>
      </c>
      <c r="X419" s="2" t="str" cm="1">
        <f t="array" ref="X419">_xlfn.TEXTJOIN(", ", TRUE, IF(CT419:CX419="X", $CT$3:$CX$3, ""))</f>
        <v/>
      </c>
      <c r="Z419" s="65" t="s">
        <v>764</v>
      </c>
      <c r="AC419" s="65" t="s">
        <v>764</v>
      </c>
      <c r="AK419" s="65" t="s">
        <v>764</v>
      </c>
      <c r="AN419" s="49"/>
      <c r="AR419" s="65" t="s">
        <v>764</v>
      </c>
      <c r="AZ419" s="65" t="s">
        <v>764</v>
      </c>
      <c r="BO419" s="65" t="s">
        <v>764</v>
      </c>
      <c r="CJ419" s="65" t="s">
        <v>764</v>
      </c>
      <c r="CR419" s="65" t="s">
        <v>764</v>
      </c>
      <c r="CT419" s="49"/>
    </row>
    <row r="420" spans="1:103" ht="18.75" customHeight="1" x14ac:dyDescent="0.25">
      <c r="A420" s="8">
        <v>415</v>
      </c>
      <c r="D420" s="29"/>
      <c r="E420" s="29"/>
      <c r="F420" s="72"/>
      <c r="G420" s="8">
        <f ca="1">DATEDIF(F420, TODAY(), "Y")</f>
        <v>126</v>
      </c>
      <c r="H420" s="2" t="s">
        <v>468</v>
      </c>
      <c r="I420" s="65" t="s">
        <v>2880</v>
      </c>
      <c r="J420" s="65"/>
      <c r="L420" s="1">
        <v>943730826</v>
      </c>
      <c r="M420" s="30"/>
      <c r="N420" s="31"/>
      <c r="O420" s="31"/>
      <c r="P420" s="2" t="s">
        <v>2881</v>
      </c>
      <c r="Q420" s="29" t="s">
        <v>3019</v>
      </c>
      <c r="R420" s="65" t="s">
        <v>1216</v>
      </c>
      <c r="S420" s="65"/>
      <c r="T420" s="65"/>
      <c r="U420" s="2" t="str" cm="1">
        <f t="array" ref="U420">_xlfn.TEXTJOIN(", ", TRUE, IF(Y420:CG420="X", $Y$3:$CG$3, ""))</f>
        <v>Arrautzak, Barazkiak aire librean, Mermelada, Babarrunak, Intxaurrak</v>
      </c>
      <c r="V420" s="18" t="str" cm="1">
        <f t="array" ref="V420">_xlfn.TEXTJOIN(", ", TRUE, IF(Y420:CG420="X", $Y$2:$CG$2, ""))</f>
        <v>OILOAK, BARAZKIAK, ERATORRIAK, LEKALEAK, FRUITU LEHORRAK</v>
      </c>
      <c r="W420" s="2" t="str" cm="1">
        <f t="array" ref="W420">_xlfn.TEXTJOIN(", ", TRUE, IF(CH420:CS420="X", $CH$3:$CS$3, ""))</f>
        <v>Azokak, Etxetik, Bertatik Bertara</v>
      </c>
      <c r="X420" s="2" t="str" cm="1">
        <f t="array" ref="X420">_xlfn.TEXTJOIN(", ", TRUE, IF(CT420:CX420="X", $CT$3:$CX$3, ""))</f>
        <v/>
      </c>
      <c r="AR420" s="65" t="s">
        <v>764</v>
      </c>
      <c r="AS420" s="65" t="s">
        <v>764</v>
      </c>
      <c r="AX420" s="65" t="s">
        <v>764</v>
      </c>
      <c r="AZ420" s="65" t="s">
        <v>764</v>
      </c>
      <c r="BN420" s="49"/>
      <c r="BO420" s="65" t="s">
        <v>764</v>
      </c>
      <c r="CH420" s="65" t="s">
        <v>764</v>
      </c>
      <c r="CI420" s="65" t="s">
        <v>764</v>
      </c>
      <c r="CR420" s="65" t="s">
        <v>764</v>
      </c>
      <c r="CT420" s="49"/>
    </row>
    <row r="421" spans="1:103" ht="18.75" customHeight="1" x14ac:dyDescent="0.25">
      <c r="A421" s="8">
        <v>417</v>
      </c>
      <c r="D421" s="57"/>
      <c r="E421" s="57"/>
      <c r="F421" s="67"/>
      <c r="G421" s="8">
        <f ca="1">DATEDIF(F421, TODAY(), "Y")</f>
        <v>126</v>
      </c>
      <c r="H421" s="2" t="s">
        <v>566</v>
      </c>
      <c r="I421" s="2" t="s">
        <v>2886</v>
      </c>
      <c r="J421" s="29"/>
      <c r="L421" s="1"/>
      <c r="M421" s="30"/>
      <c r="N421" s="31"/>
      <c r="O421" s="31"/>
      <c r="P421" s="2" t="s">
        <v>2886</v>
      </c>
      <c r="Q421" s="2"/>
      <c r="R421" s="49"/>
      <c r="S421" s="49"/>
      <c r="T421" s="49"/>
      <c r="U421" s="2" t="str" cm="1">
        <f t="array" ref="U421">_xlfn.TEXTJOIN(", ", TRUE, IF(Y421:CG421="X", $Y$3:$CG$3, ""))</f>
        <v/>
      </c>
      <c r="V421" s="18" t="str" cm="1">
        <f t="array" ref="V421">_xlfn.TEXTJOIN(", ", TRUE, IF(Y421:CG421="X", $Y$2:$CG$2, ""))</f>
        <v/>
      </c>
      <c r="W421" s="2" t="str" cm="1">
        <f t="array" ref="W421">_xlfn.TEXTJOIN(", ", TRUE, IF(CH421:CS421="X", $CH$3:$CS$3, ""))</f>
        <v/>
      </c>
      <c r="X421" s="2" t="str" cm="1">
        <f t="array" ref="X421">_xlfn.TEXTJOIN(", ", TRUE, IF(CT421:CX421="X", $CT$3:$CX$3, ""))</f>
        <v>Ekologikoa</v>
      </c>
      <c r="AR421" s="49"/>
      <c r="AS421" s="49"/>
      <c r="AW421" s="49"/>
      <c r="AX421" s="49"/>
      <c r="BD421" s="49"/>
      <c r="CA421" s="49"/>
      <c r="CH421" s="49"/>
      <c r="CR421" s="49"/>
      <c r="CT421" s="65" t="s">
        <v>764</v>
      </c>
    </row>
    <row r="422" spans="1:103" s="47" customFormat="1" x14ac:dyDescent="0.25">
      <c r="A422" s="63">
        <v>418</v>
      </c>
      <c r="B422" s="3"/>
      <c r="C422" s="3"/>
      <c r="D422" s="29"/>
      <c r="E422" s="29"/>
      <c r="F422" s="67"/>
      <c r="G422" s="63">
        <f ca="1">DATEDIF(F422, TODAY(), "Y")</f>
        <v>126</v>
      </c>
      <c r="H422" s="65" t="s">
        <v>585</v>
      </c>
      <c r="I422" s="65" t="s">
        <v>2887</v>
      </c>
      <c r="J422" s="65"/>
      <c r="K422" s="3"/>
      <c r="L422" s="1">
        <v>943720914</v>
      </c>
      <c r="M422" s="76"/>
      <c r="N422" s="77"/>
      <c r="O422" s="77"/>
      <c r="P422" s="65" t="s">
        <v>2888</v>
      </c>
      <c r="Q422" s="65" t="s">
        <v>3020</v>
      </c>
      <c r="R422" s="65" t="s">
        <v>1216</v>
      </c>
      <c r="S422" s="65"/>
      <c r="T422" s="65"/>
      <c r="U422" s="2" t="str" cm="1">
        <f t="array" ref="U422">_xlfn.TEXTJOIN(", ", TRUE, IF(Y422:CG422="X", $Y$3:$CG$3, ""))</f>
        <v>Behi haragia, Babarrunak</v>
      </c>
      <c r="V422" s="18" t="str" cm="1">
        <f t="array" ref="V422">_xlfn.TEXTJOIN(", ", TRUE, IF(Y422:CG422="X", $Y$2:$CG$2, ""))</f>
        <v>HARAGIA, LEKALEAK</v>
      </c>
      <c r="W422" s="2" t="str" cm="1">
        <f t="array" ref="W422">_xlfn.TEXTJOIN(", ", TRUE, IF(CH422:CS422="X", $CH$3:$CS$3, ""))</f>
        <v>Bertatik Bertara</v>
      </c>
      <c r="X422" s="2" t="str" cm="1">
        <f t="array" ref="X422">_xlfn.TEXTJOIN(", ", TRUE, IF(CT422:CX422="X", $CT$3:$CX$3, ""))</f>
        <v/>
      </c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65" t="s">
        <v>764</v>
      </c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65" t="s">
        <v>764</v>
      </c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65" t="s">
        <v>764</v>
      </c>
      <c r="CS422" s="3"/>
      <c r="CT422" s="3"/>
      <c r="CU422" s="3"/>
      <c r="CV422" s="3"/>
      <c r="CW422" s="3"/>
      <c r="CX422" s="3"/>
      <c r="CY422" s="3"/>
    </row>
    <row r="423" spans="1:103" x14ac:dyDescent="0.25">
      <c r="A423" s="63">
        <v>419</v>
      </c>
      <c r="D423" s="29"/>
      <c r="E423" s="29"/>
      <c r="F423" s="67"/>
      <c r="G423" s="63">
        <f ca="1">DATEDIF(F423, TODAY(), "Y")</f>
        <v>126</v>
      </c>
      <c r="H423" s="65" t="s">
        <v>585</v>
      </c>
      <c r="I423" s="65" t="s">
        <v>2889</v>
      </c>
      <c r="J423" s="65"/>
      <c r="L423" s="1" t="s">
        <v>2890</v>
      </c>
      <c r="M423" s="30"/>
      <c r="N423" s="77"/>
      <c r="O423" s="77"/>
      <c r="P423" s="65" t="s">
        <v>2891</v>
      </c>
      <c r="Q423" s="65" t="s">
        <v>3020</v>
      </c>
      <c r="R423" s="65" t="s">
        <v>1216</v>
      </c>
      <c r="S423" s="65"/>
      <c r="T423" s="65"/>
      <c r="U423" s="2" t="str" cm="1">
        <f t="array" ref="U423">_xlfn.TEXTJOIN(", ", TRUE, IF(Y423:CG423="X", $Y$3:$CG$3, ""))</f>
        <v>Ardi haragia, Babarrunak</v>
      </c>
      <c r="V423" s="18" t="str" cm="1">
        <f t="array" ref="V423">_xlfn.TEXTJOIN(", ", TRUE, IF(Y423:CG423="X", $Y$2:$CG$2, ""))</f>
        <v>HARAGIA, LEKALEAK</v>
      </c>
      <c r="W423" s="2" t="str" cm="1">
        <f t="array" ref="W423">_xlfn.TEXTJOIN(", ", TRUE, IF(CH423:CS423="X", $CH$3:$CS$3, ""))</f>
        <v>Bertatik Bertara</v>
      </c>
      <c r="X423" s="2" t="str" cm="1">
        <f t="array" ref="X423">_xlfn.TEXTJOIN(", ", TRUE, IF(CT423:CX423="X", $CT$3:$CX$3, ""))</f>
        <v/>
      </c>
      <c r="AK423" s="65" t="s">
        <v>764</v>
      </c>
      <c r="AZ423" s="65" t="s">
        <v>764</v>
      </c>
      <c r="CR423" s="65" t="s">
        <v>764</v>
      </c>
    </row>
    <row r="424" spans="1:103" x14ac:dyDescent="0.25">
      <c r="A424" s="63">
        <v>420</v>
      </c>
      <c r="D424" s="29"/>
      <c r="E424" s="29"/>
      <c r="G424" s="63">
        <f ca="1">DATEDIF(F424, TODAY(), "Y")</f>
        <v>126</v>
      </c>
      <c r="H424" s="65" t="s">
        <v>585</v>
      </c>
      <c r="L424" s="1"/>
      <c r="M424" s="30"/>
      <c r="N424" s="77"/>
      <c r="O424" s="77"/>
      <c r="P424" s="65" t="s">
        <v>2892</v>
      </c>
      <c r="Q424" s="65" t="s">
        <v>3021</v>
      </c>
      <c r="U424" s="2" t="str" cm="1">
        <f t="array" ref="U424">_xlfn.TEXTJOIN(", ", TRUE, IF(Y424:CG424="X", $Y$3:$CG$3, ""))</f>
        <v>Ogia</v>
      </c>
      <c r="V424" s="18" t="str" cm="1">
        <f t="array" ref="V424">_xlfn.TEXTJOIN(", ", TRUE, IF(Y424:CG424="X", $Y$2:$CG$2, ""))</f>
        <v>OGIGINTZA</v>
      </c>
      <c r="W424" s="2" t="str" cm="1">
        <f t="array" ref="W424">_xlfn.TEXTJOIN(", ", TRUE, IF(CH424:CS424="X", $CH$3:$CS$3, ""))</f>
        <v/>
      </c>
      <c r="X424" s="2" t="str" cm="1">
        <f t="array" ref="X424">_xlfn.TEXTJOIN(", ", TRUE, IF(CT424:CX424="X", $CT$3:$CX$3, ""))</f>
        <v>Ekologikoa</v>
      </c>
      <c r="BX424" s="65" t="s">
        <v>764</v>
      </c>
      <c r="CT424" s="65" t="s">
        <v>764</v>
      </c>
    </row>
    <row r="425" spans="1:103" x14ac:dyDescent="0.25">
      <c r="A425" s="63">
        <v>421</v>
      </c>
      <c r="D425" s="29"/>
      <c r="E425" s="29"/>
      <c r="G425" s="63">
        <f ca="1">DATEDIF(F425, TODAY(), "Y")</f>
        <v>126</v>
      </c>
      <c r="H425" s="2" t="s">
        <v>585</v>
      </c>
      <c r="L425" s="1"/>
      <c r="M425" s="30"/>
      <c r="N425" s="77"/>
      <c r="O425" s="77"/>
      <c r="P425" s="65" t="s">
        <v>2893</v>
      </c>
      <c r="Q425" s="65" t="s">
        <v>3020</v>
      </c>
      <c r="U425" s="65" t="str" cm="1">
        <f t="array" ref="U425">_xlfn.TEXTJOIN(", ", TRUE, IF(Y425:CG425="X", $Y$3:$CG$3, ""))</f>
        <v>Fruta</v>
      </c>
      <c r="V425" s="67" t="str" cm="1">
        <f t="array" ref="V425">_xlfn.TEXTJOIN(", ", TRUE, IF(Y425:CG425="X", $Y$2:$CG$2, ""))</f>
        <v>FRUTA</v>
      </c>
      <c r="W425" s="65" t="str" cm="1">
        <f t="array" ref="W425">_xlfn.TEXTJOIN(", ", TRUE, IF(CH425:CS425="X", $CH$3:$CS$3, ""))</f>
        <v/>
      </c>
      <c r="X425" s="65" t="str" cm="1">
        <f t="array" ref="X425">_xlfn.TEXTJOIN(", ", TRUE, IF(CT425:CX425="X", $CT$3:$CX$3, ""))</f>
        <v>Ekologikoa</v>
      </c>
      <c r="BD425" s="65" t="s">
        <v>764</v>
      </c>
      <c r="CT425" s="65" t="s">
        <v>764</v>
      </c>
    </row>
    <row r="426" spans="1:103" x14ac:dyDescent="0.25">
      <c r="A426" s="63">
        <v>423</v>
      </c>
      <c r="D426" s="29" t="s">
        <v>3007</v>
      </c>
      <c r="E426" s="29" t="s">
        <v>3008</v>
      </c>
      <c r="G426" s="63">
        <f ca="1">DATEDIF(F426, TODAY(), "Y")</f>
        <v>126</v>
      </c>
      <c r="H426" s="65" t="s">
        <v>2308</v>
      </c>
      <c r="K426" s="3" t="s">
        <v>3016</v>
      </c>
      <c r="L426" s="1"/>
      <c r="M426" s="30"/>
      <c r="N426" s="77"/>
      <c r="O426" s="77"/>
      <c r="P426" s="65" t="s">
        <v>2896</v>
      </c>
      <c r="Q426" s="65" t="s">
        <v>3021</v>
      </c>
      <c r="R426" s="3" t="s">
        <v>772</v>
      </c>
      <c r="U426" s="65" t="str" cm="1">
        <f t="array" ref="U426">_xlfn.TEXTJOIN(", ", TRUE, IF(Y426:CG426="X", $Y$3:$CG$3, ""))</f>
        <v>Arrautzak</v>
      </c>
      <c r="V426" s="67" t="str" cm="1">
        <f t="array" ref="V426">_xlfn.TEXTJOIN(", ", TRUE, IF(Y426:CG426="X", $Y$2:$CG$2, ""))</f>
        <v>OILOAK</v>
      </c>
      <c r="W426" s="65" t="str" cm="1">
        <f t="array" ref="W426">_xlfn.TEXTJOIN(", ", TRUE, IF(CH426:CS426="X", $CH$3:$CS$3, ""))</f>
        <v/>
      </c>
      <c r="X426" s="65" t="str" cm="1">
        <f t="array" ref="X426">_xlfn.TEXTJOIN(", ", TRUE, IF(CT426:CX426="X", $CT$3:$CX$3, ""))</f>
        <v>Ekologikoa</v>
      </c>
      <c r="AR426" s="65" t="s">
        <v>764</v>
      </c>
      <c r="CT426" s="65" t="s">
        <v>764</v>
      </c>
    </row>
    <row r="427" spans="1:103" x14ac:dyDescent="0.25">
      <c r="A427" s="63">
        <v>424</v>
      </c>
      <c r="D427" s="29" t="s">
        <v>3009</v>
      </c>
      <c r="E427" s="29" t="s">
        <v>3010</v>
      </c>
      <c r="G427" s="63">
        <f ca="1">DATEDIF(F427, TODAY(), "Y")</f>
        <v>126</v>
      </c>
      <c r="H427" s="2" t="s">
        <v>2308</v>
      </c>
      <c r="K427" s="3" t="s">
        <v>3015</v>
      </c>
      <c r="L427" s="1"/>
      <c r="M427" s="30"/>
      <c r="N427" s="77"/>
      <c r="O427" s="77"/>
      <c r="P427" s="65" t="s">
        <v>2897</v>
      </c>
      <c r="Q427" s="65" t="s">
        <v>3021</v>
      </c>
      <c r="R427" s="3" t="s">
        <v>772</v>
      </c>
      <c r="U427" s="65" t="str" cm="1">
        <f t="array" ref="U427">_xlfn.TEXTJOIN(", ", TRUE, IF(Y427:CG427="X", $Y$3:$CG$3, ""))</f>
        <v>Ardi gazta, Iogurtak, Zukuak</v>
      </c>
      <c r="V427" s="67" t="str" cm="1">
        <f t="array" ref="V427">_xlfn.TEXTJOIN(", ", TRUE, IF(Y427:CG427="X", $Y$2:$CG$2, ""))</f>
        <v>ESNEKIAK, ESNEKIAK, EDARIAK</v>
      </c>
      <c r="W427" s="65" t="str" cm="1">
        <f t="array" ref="W427">_xlfn.TEXTJOIN(", ", TRUE, IF(CH427:CS427="X", $CH$3:$CS$3, ""))</f>
        <v/>
      </c>
      <c r="X427" s="65" t="str" cm="1">
        <f t="array" ref="X427">_xlfn.TEXTJOIN(", ", TRUE, IF(CT427:CX427="X", $CT$3:$CX$3, ""))</f>
        <v>Ekologikoa</v>
      </c>
      <c r="AC427" s="65" t="s">
        <v>764</v>
      </c>
      <c r="AE427" s="65" t="s">
        <v>764</v>
      </c>
      <c r="CF427" s="65" t="s">
        <v>764</v>
      </c>
      <c r="CT427" s="65" t="s">
        <v>764</v>
      </c>
    </row>
    <row r="428" spans="1:103" x14ac:dyDescent="0.25">
      <c r="A428" s="63">
        <v>425</v>
      </c>
      <c r="D428" s="29" t="s">
        <v>3011</v>
      </c>
      <c r="E428" s="29" t="s">
        <v>3012</v>
      </c>
      <c r="G428" s="63">
        <f ca="1">DATEDIF(F428, TODAY(), "Y")</f>
        <v>126</v>
      </c>
      <c r="H428" s="2" t="s">
        <v>2308</v>
      </c>
      <c r="K428" s="65" t="s">
        <v>2898</v>
      </c>
      <c r="L428" s="1"/>
      <c r="M428" s="30"/>
      <c r="N428" s="77"/>
      <c r="O428" s="77"/>
      <c r="P428" s="65" t="s">
        <v>2898</v>
      </c>
      <c r="Q428" s="65" t="s">
        <v>3021</v>
      </c>
      <c r="R428" s="3" t="s">
        <v>772</v>
      </c>
      <c r="U428" s="65" t="str" cm="1">
        <f t="array" ref="U428">_xlfn.TEXTJOIN(", ", TRUE, IF(Y428:CG428="X", $Y$3:$CG$3, ""))</f>
        <v>Eztia, Propoleoa</v>
      </c>
      <c r="V428" s="67" t="str" cm="1">
        <f t="array" ref="V428">_xlfn.TEXTJOIN(", ", TRUE, IF(Y428:CG428="X", $Y$2:$CG$2, ""))</f>
        <v>ERLEAK, ERLEAK</v>
      </c>
      <c r="W428" s="65" t="str" cm="1">
        <f t="array" ref="W428">_xlfn.TEXTJOIN(", ", TRUE, IF(CH428:CS428="X", $CH$3:$CS$3, ""))</f>
        <v/>
      </c>
      <c r="X428" s="65" t="str" cm="1">
        <f t="array" ref="X428">_xlfn.TEXTJOIN(", ", TRUE, IF(CT428:CX428="X", $CT$3:$CX$3, ""))</f>
        <v>Ekologikoa</v>
      </c>
      <c r="BA428" s="65" t="s">
        <v>764</v>
      </c>
      <c r="BC428" s="65" t="s">
        <v>764</v>
      </c>
      <c r="CT428" s="65" t="s">
        <v>764</v>
      </c>
    </row>
    <row r="429" spans="1:103" x14ac:dyDescent="0.25">
      <c r="D429" s="29" t="s">
        <v>3090</v>
      </c>
      <c r="E429" s="29" t="s">
        <v>3091</v>
      </c>
      <c r="H429" s="49" t="s">
        <v>749</v>
      </c>
      <c r="I429" s="3" t="s">
        <v>890</v>
      </c>
      <c r="L429" s="1">
        <v>943889066</v>
      </c>
      <c r="M429" s="30"/>
      <c r="P429" s="3" t="s">
        <v>3032</v>
      </c>
      <c r="U429" s="50" t="str" cm="1">
        <f t="array" ref="U429">_xlfn.TEXTJOIN(", ", TRUE, IF(Y429:CG429="X", $Y$3:$CG$3, ""))</f>
        <v>Barazkiak aire librean, Babarrunak, Fruta</v>
      </c>
      <c r="V429" s="52" t="str" cm="1">
        <f t="array" ref="V429">_xlfn.TEXTJOIN(", ", TRUE, IF(Y429:CG429="X", $Y$2:$CG$2, ""))</f>
        <v>BARAZKIAK, LEKALEAK, FRUTA</v>
      </c>
      <c r="W429" s="50" t="str" cm="1">
        <f t="array" ref="W429">_xlfn.TEXTJOIN(", ", TRUE, IF(CH429:CS429="X", $CH$3:$CS$3, ""))</f>
        <v/>
      </c>
      <c r="X429" s="50" t="str" cm="1">
        <f t="array" ref="X429">_xlfn.TEXTJOIN(", ", TRUE, IF(CT429:CX429="X", $CT$3:$CX$3, ""))</f>
        <v/>
      </c>
      <c r="AS429" s="3" t="s">
        <v>764</v>
      </c>
      <c r="AZ429" s="3" t="s">
        <v>764</v>
      </c>
      <c r="BD429" s="3" t="s">
        <v>764</v>
      </c>
    </row>
    <row r="430" spans="1:103" x14ac:dyDescent="0.25">
      <c r="D430" s="29" t="s">
        <v>3034</v>
      </c>
      <c r="E430" s="29" t="s">
        <v>3092</v>
      </c>
      <c r="H430" s="49" t="s">
        <v>749</v>
      </c>
      <c r="I430" s="3" t="s">
        <v>3033</v>
      </c>
      <c r="L430" s="1">
        <v>646233542</v>
      </c>
      <c r="M430" s="30"/>
      <c r="P430" s="3" t="s">
        <v>3035</v>
      </c>
      <c r="U430" s="50" t="str" cm="1">
        <f t="array" ref="U430">_xlfn.TEXTJOIN(", ", TRUE, IF(Y430:CG430="X", $Y$3:$CG$3, ""))</f>
        <v>Ahuntz gazta</v>
      </c>
      <c r="V430" s="52" t="str" cm="1">
        <f t="array" ref="V430">_xlfn.TEXTJOIN(", ", TRUE, IF(Y430:CG430="X", $Y$2:$CG$2, ""))</f>
        <v>ESNEKIAK</v>
      </c>
      <c r="W430" s="50" t="str" cm="1">
        <f t="array" ref="W430">_xlfn.TEXTJOIN(", ", TRUE, IF(CH430:CS430="X", $CH$3:$CS$3, ""))</f>
        <v/>
      </c>
      <c r="X430" s="50" t="str" cm="1">
        <f t="array" ref="X430">_xlfn.TEXTJOIN(", ", TRUE, IF(CT430:CX430="X", $CT$3:$CX$3, ""))</f>
        <v/>
      </c>
      <c r="AD430" s="3" t="s">
        <v>764</v>
      </c>
    </row>
    <row r="431" spans="1:103" x14ac:dyDescent="0.25">
      <c r="D431" s="29" t="s">
        <v>3098</v>
      </c>
      <c r="E431" s="29" t="s">
        <v>3050</v>
      </c>
      <c r="H431" s="2" t="s">
        <v>457</v>
      </c>
      <c r="I431" s="3" t="s">
        <v>3049</v>
      </c>
      <c r="L431" s="1">
        <v>943999999</v>
      </c>
      <c r="M431" s="30"/>
      <c r="P431" s="3" t="s">
        <v>3051</v>
      </c>
      <c r="U431" s="50" t="str" cm="1">
        <f t="array" ref="U431">_xlfn.TEXTJOIN(", ", TRUE, IF(Y431:CG431="X", $Y$3:$CG$3, ""))</f>
        <v>Ardi haragia</v>
      </c>
      <c r="V431" s="52" t="str" cm="1">
        <f t="array" ref="V431">_xlfn.TEXTJOIN(", ", TRUE, IF(Y431:CG431="X", $Y$2:$CG$2, ""))</f>
        <v>HARAGIA</v>
      </c>
      <c r="AK431" s="3" t="s">
        <v>764</v>
      </c>
    </row>
    <row r="432" spans="1:103" x14ac:dyDescent="0.25">
      <c r="D432" s="29" t="s">
        <v>3067</v>
      </c>
      <c r="E432" s="29" t="s">
        <v>3101</v>
      </c>
      <c r="H432" s="2" t="s">
        <v>1452</v>
      </c>
      <c r="I432" s="3" t="s">
        <v>2199</v>
      </c>
      <c r="K432" s="3" t="s">
        <v>3066</v>
      </c>
      <c r="L432" s="1">
        <v>943187427</v>
      </c>
      <c r="M432" s="56"/>
      <c r="O432" s="48" t="s">
        <v>3068</v>
      </c>
      <c r="U432" s="50" t="str" cm="1">
        <f t="array" ref="U432">_xlfn.TEXTJOIN(", ", TRUE, IF(Y432:CG432="X", $Y$3:$CG$3, ""))</f>
        <v>Ardi gazta</v>
      </c>
      <c r="V432" s="52" t="str" cm="1">
        <f t="array" ref="V432">_xlfn.TEXTJOIN(", ", TRUE, IF(Y432:CG432="X", $Y$2:$CG$2, ""))</f>
        <v>ESNEKIAK</v>
      </c>
      <c r="AC432" s="3" t="s">
        <v>764</v>
      </c>
    </row>
    <row r="433" spans="4:76" x14ac:dyDescent="0.25">
      <c r="D433" s="29" t="s">
        <v>3072</v>
      </c>
      <c r="E433" s="29" t="s">
        <v>3102</v>
      </c>
      <c r="H433" s="50" t="s">
        <v>1452</v>
      </c>
      <c r="I433" s="3" t="s">
        <v>3071</v>
      </c>
      <c r="L433" s="1">
        <v>943187524</v>
      </c>
      <c r="M433" s="56"/>
      <c r="P433" s="3" t="s">
        <v>3073</v>
      </c>
      <c r="U433" s="50" t="str" cm="1">
        <f t="array" ref="U433">_xlfn.TEXTJOIN(", ", TRUE, IF(Y433:CG433="X", $Y$3:$CG$3, ""))</f>
        <v>Fruta</v>
      </c>
      <c r="V433" s="52" t="str" cm="1">
        <f t="array" ref="V433">_xlfn.TEXTJOIN(", ", TRUE, IF(Y433:CG433="X", $Y$2:$CG$2, ""))</f>
        <v>FRUTA</v>
      </c>
      <c r="BD433" s="3" t="s">
        <v>764</v>
      </c>
    </row>
    <row r="434" spans="4:76" x14ac:dyDescent="0.25">
      <c r="D434" s="29" t="s">
        <v>3106</v>
      </c>
      <c r="E434" s="29" t="s">
        <v>3129</v>
      </c>
      <c r="H434" s="2" t="s">
        <v>576</v>
      </c>
      <c r="I434" s="3" t="s">
        <v>2702</v>
      </c>
      <c r="L434" s="1">
        <v>943885979</v>
      </c>
      <c r="P434" s="3" t="s">
        <v>3107</v>
      </c>
      <c r="U434" s="50" t="str" cm="1">
        <f t="array" ref="U434">_xlfn.TEXTJOIN(", ", TRUE, IF(Y434:CG434="X", $Y$3:$CG$3, ""))</f>
        <v>Intxaurrak, Ogia</v>
      </c>
      <c r="V434" s="52" t="str" cm="1">
        <f t="array" ref="V434">_xlfn.TEXTJOIN(", ", TRUE, IF(Y434:CG434="X", $Y$2:$CG$2, ""))</f>
        <v>FRUITU LEHORRAK, OGIGINTZA</v>
      </c>
      <c r="BO434" s="3" t="s">
        <v>764</v>
      </c>
      <c r="BX434" s="3" t="s">
        <v>764</v>
      </c>
    </row>
    <row r="435" spans="4:76" x14ac:dyDescent="0.25">
      <c r="D435" s="29" t="s">
        <v>3130</v>
      </c>
      <c r="E435" s="29" t="s">
        <v>3131</v>
      </c>
      <c r="H435" s="2" t="s">
        <v>2448</v>
      </c>
      <c r="L435" s="1">
        <v>629445707</v>
      </c>
      <c r="P435" s="3" t="s">
        <v>3114</v>
      </c>
      <c r="U435" s="50" t="str" cm="1">
        <f t="array" ref="U435">_xlfn.TEXTJOIN(", ", TRUE, IF(Y435:CG435="X", $Y$3:$CG$3, ""))</f>
        <v>Babarrunak</v>
      </c>
      <c r="V435" s="52" t="str" cm="1">
        <f t="array" ref="V435">_xlfn.TEXTJOIN(", ", TRUE, IF(Y435:CG435="X", $Y$2:$CG$2, ""))</f>
        <v>LEKALEAK</v>
      </c>
      <c r="AZ435" s="3" t="s">
        <v>764</v>
      </c>
    </row>
    <row r="436" spans="4:76" x14ac:dyDescent="0.25">
      <c r="D436" s="11"/>
      <c r="E436" s="11"/>
      <c r="L436" s="1"/>
    </row>
    <row r="437" spans="4:76" x14ac:dyDescent="0.25">
      <c r="D437" s="11"/>
    </row>
    <row r="438" spans="4:76" x14ac:dyDescent="0.25">
      <c r="D438" s="11"/>
    </row>
  </sheetData>
  <autoFilter ref="A3:CY435" xr:uid="{00000000-0001-0000-0000-000000000000}">
    <sortState xmlns:xlrd2="http://schemas.microsoft.com/office/spreadsheetml/2017/richdata2" ref="A4:CY435">
      <sortCondition ref="N3:N435"/>
    </sortState>
  </autoFilter>
  <mergeCells count="4">
    <mergeCell ref="Y1:CG1"/>
    <mergeCell ref="CH2:CS2"/>
    <mergeCell ref="CT2:CU2"/>
    <mergeCell ref="CV2:CX2"/>
  </mergeCells>
  <conditionalFormatting sqref="G1:G1048576">
    <cfRule type="cellIs" dxfId="7" priority="1" operator="between">
      <formula>31</formula>
      <formula>65</formula>
    </cfRule>
    <cfRule type="cellIs" dxfId="6" priority="2" operator="between">
      <formula>50</formula>
      <formula>65</formula>
    </cfRule>
    <cfRule type="cellIs" dxfId="5" priority="3" operator="between">
      <formula>31</formula>
      <formula>49</formula>
    </cfRule>
    <cfRule type="cellIs" dxfId="4" priority="4" operator="between">
      <formula>31</formula>
      <formula>50</formula>
    </cfRule>
    <cfRule type="cellIs" dxfId="3" priority="6" operator="between">
      <formula>66</formula>
      <formula>100</formula>
    </cfRule>
    <cfRule type="cellIs" dxfId="2" priority="7" operator="between">
      <formula>31</formula>
      <formula>65</formula>
    </cfRule>
    <cfRule type="cellIs" dxfId="1" priority="8" operator="between">
      <formula>18</formula>
      <formula>30</formula>
    </cfRule>
  </conditionalFormatting>
  <conditionalFormatting sqref="I1:I403 I405:I1048576">
    <cfRule type="duplicateValues" dxfId="0" priority="5"/>
  </conditionalFormatting>
  <hyperlinks>
    <hyperlink ref="N8" r:id="rId1" xr:uid="{22BBF699-2C9F-43F6-8024-6176736A8E61}"/>
    <hyperlink ref="O87" r:id="rId2" xr:uid="{9009F44A-F912-4CD5-8D97-5692852F69E6}"/>
    <hyperlink ref="O5" r:id="rId3" xr:uid="{C1665BCD-3AD2-4518-B29A-8D8B4147E957}"/>
    <hyperlink ref="M38" r:id="rId4" xr:uid="{43FFB3B4-5313-4451-9FC3-7B2308619B64}"/>
    <hyperlink ref="O38" r:id="rId5" xr:uid="{7318CB4D-65A4-4BF9-ADA6-5F019A539C1F}"/>
    <hyperlink ref="O15" r:id="rId6" display="https://www.instagram.com/baztarrikagaztak/?utm_source=ig_web_button_share_sheet" xr:uid="{A7AE7052-F6B7-47EB-99EE-82C557335912}"/>
    <hyperlink ref="M12" r:id="rId7" xr:uid="{3D7EB897-044F-4CC9-8C3E-AC52FCDF9764}"/>
    <hyperlink ref="N12" r:id="rId8" xr:uid="{6828A0D6-311D-4655-BEB7-1356A0CA5DB9}"/>
    <hyperlink ref="O12" r:id="rId9" display="https://www.instagram.com/goimenelkartea/?utm_source=ig_web_button_share_sheet" xr:uid="{8335231E-6864-40FC-A576-587709F6DBC9}"/>
    <hyperlink ref="M23" r:id="rId10" xr:uid="{2412BF61-440D-4832-B632-CC4E86377665}"/>
    <hyperlink ref="M106" r:id="rId11" display="mailto: waqali09@gmail.com" xr:uid="{3B70F18B-3D3C-45E0-8636-6089673B1028}"/>
    <hyperlink ref="O91" r:id="rId12" xr:uid="{1F738C83-E822-4108-9B18-5BB5756E7F82}"/>
    <hyperlink ref="M37" r:id="rId13" display="mailto: baindibaratza@gmail.com" xr:uid="{2CDBF635-9E1B-4076-8620-3F57D5ACD0BD}"/>
    <hyperlink ref="M99" r:id="rId14" display="mailto: pili.espilla@gmail.com" xr:uid="{01908136-9730-43A9-BAF2-48F7E1C04F78}"/>
    <hyperlink ref="M100" r:id="rId15" display="mailto: susiwiky@yahoo.es" xr:uid="{CF4D90B4-DD8C-4230-BB84-AD84DD720EBE}"/>
    <hyperlink ref="M50" r:id="rId16" xr:uid="{E0648903-2A67-428D-9126-F46DC097F573}"/>
    <hyperlink ref="M29" r:id="rId17" display="mailto: altzibar@altzibar.com" xr:uid="{BB635EEE-C645-4B17-944B-5FC8EBC94052}"/>
    <hyperlink ref="O29" r:id="rId18" xr:uid="{D9D09910-CE51-4E3C-9029-F5D4D62939CF}"/>
    <hyperlink ref="M51" r:id="rId19" display="mailto: gorrotxa@huevospitas.es" xr:uid="{15F26B8D-CDBF-4047-91DB-DD59B4F1E8DD}"/>
    <hyperlink ref="N9" r:id="rId20" xr:uid="{931C8C15-85FB-4DCC-A7C2-6CB1E7792D37}"/>
    <hyperlink ref="M68" r:id="rId21" xr:uid="{37BC46B0-D3A1-4CB5-AF5D-7E87208C692D}"/>
    <hyperlink ref="O432" r:id="rId22" xr:uid="{D28EFA18-D152-4348-88F5-B5CD53C82C9B}"/>
    <hyperlink ref="N7" r:id="rId23" xr:uid="{A9A8E7CA-AA01-4670-ABC2-49D1E6E749A0}"/>
    <hyperlink ref="O7" r:id="rId24" xr:uid="{52890E1E-3026-4C7B-8E9E-AECB4E9DEC24}"/>
    <hyperlink ref="O62" r:id="rId25" xr:uid="{B390D437-B593-4162-9648-FE78EEDEF482}"/>
    <hyperlink ref="M8" r:id="rId26" display="mailto: bihotzforcada@hotmail.com" xr:uid="{1436A554-638E-459C-8CA9-22E64219DE46}"/>
    <hyperlink ref="N13" r:id="rId27" xr:uid="{3D193724-F252-4DC8-B884-A01B8EC588F9}"/>
    <hyperlink ref="N11" r:id="rId28" xr:uid="{D7DB9F7F-FC4F-4455-A1ED-07F54F1DC44D}"/>
    <hyperlink ref="M35" r:id="rId29" display="mailto: arramendi@artzai-gazta.net" xr:uid="{8C1A1F97-E8E2-44C6-B20C-6D89A7955EEC}"/>
    <hyperlink ref="N6" r:id="rId30" xr:uid="{A727E73F-BDE9-4981-BC99-DAE2A9E4B54E}"/>
    <hyperlink ref="M6" r:id="rId31" display="mailto:aikur@aikur.eus" xr:uid="{89D9C7C0-0DD4-493C-8598-9324FAAB90BA}"/>
    <hyperlink ref="M44" r:id="rId32" display="mailto: etxabeostolaza@hotmail.es" xr:uid="{4F9D570F-7AF4-4D05-9CF1-4A60B7D8D3F0}"/>
    <hyperlink ref="M89" r:id="rId33" display="mailto: maripazoiarbide@gmail.com" xr:uid="{82C070AA-B4E3-48E7-B480-276A83A44F8D}"/>
    <hyperlink ref="M30" r:id="rId34" display="mailto: altzukaran@homail.com" xr:uid="{21295C77-4FF1-4E9C-B81E-75EBB0A7D6EB}"/>
    <hyperlink ref="O21" r:id="rId35" xr:uid="{29FE7AF1-8915-42C2-AC75-E0FAC302920E}"/>
    <hyperlink ref="N14" r:id="rId36" xr:uid="{12CBC1D5-09EE-4488-B508-3BD583E63DD7}"/>
    <hyperlink ref="N15" r:id="rId37" xr:uid="{DEDEBB43-88D5-428F-8ABF-EF3F7AE8B54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O64"/>
  <sheetViews>
    <sheetView tabSelected="1" workbookViewId="0">
      <selection activeCell="I11" sqref="I11"/>
    </sheetView>
  </sheetViews>
  <sheetFormatPr baseColWidth="10" defaultColWidth="9.140625" defaultRowHeight="15" x14ac:dyDescent="0.25"/>
  <cols>
    <col min="1" max="1" width="13.5703125" style="4" bestFit="1" customWidth="1"/>
    <col min="2" max="2" width="10.5703125" style="11" bestFit="1" customWidth="1"/>
    <col min="3" max="3" width="21" style="11" bestFit="1" customWidth="1"/>
    <col min="4" max="4" width="29.5703125" style="10" bestFit="1" customWidth="1"/>
    <col min="5" max="5" width="28.85546875" style="10" bestFit="1" customWidth="1"/>
    <col min="6" max="6" width="13.5703125" style="3" bestFit="1" customWidth="1"/>
    <col min="7" max="7" width="10.5703125" style="3" bestFit="1" customWidth="1"/>
    <col min="8" max="12" width="13.5703125" style="3" bestFit="1" customWidth="1"/>
    <col min="13" max="13" width="13.5703125" bestFit="1" customWidth="1"/>
  </cols>
  <sheetData>
    <row r="1" spans="1:15" ht="18.75" customHeight="1" x14ac:dyDescent="0.25">
      <c r="B1" s="6" t="s">
        <v>0</v>
      </c>
      <c r="C1" s="6" t="s">
        <v>1</v>
      </c>
      <c r="D1" s="5" t="s">
        <v>2</v>
      </c>
      <c r="E1" s="5" t="s">
        <v>3</v>
      </c>
      <c r="F1" s="2" t="s">
        <v>4</v>
      </c>
      <c r="G1" s="2" t="s">
        <v>5</v>
      </c>
      <c r="H1" s="2" t="s">
        <v>6</v>
      </c>
      <c r="I1" s="2" t="s">
        <v>2974</v>
      </c>
      <c r="J1" s="2" t="s">
        <v>506</v>
      </c>
      <c r="K1" s="2" t="s">
        <v>507</v>
      </c>
      <c r="L1" s="2" t="s">
        <v>449</v>
      </c>
      <c r="M1" s="13" t="s">
        <v>508</v>
      </c>
      <c r="N1" s="13" t="s">
        <v>2925</v>
      </c>
      <c r="O1" s="13" t="s">
        <v>3030</v>
      </c>
    </row>
    <row r="2" spans="1:15" ht="18.75" customHeight="1" x14ac:dyDescent="0.25">
      <c r="A2" s="7">
        <v>1</v>
      </c>
      <c r="B2" s="8">
        <v>560038.56999999995</v>
      </c>
      <c r="C2" s="8">
        <v>4767170.6500000004</v>
      </c>
      <c r="D2" s="9" t="s">
        <v>2908</v>
      </c>
      <c r="E2" s="9" t="s">
        <v>509</v>
      </c>
      <c r="F2" s="2" t="s">
        <v>132</v>
      </c>
      <c r="G2" s="2" t="s">
        <v>639</v>
      </c>
      <c r="H2" s="2" t="s">
        <v>510</v>
      </c>
      <c r="I2" s="2"/>
      <c r="J2" s="2"/>
      <c r="K2" s="2"/>
      <c r="L2" s="2"/>
    </row>
    <row r="3" spans="1:15" ht="18.75" customHeight="1" x14ac:dyDescent="0.25">
      <c r="A3" s="7">
        <v>2</v>
      </c>
      <c r="B3" s="8">
        <v>565441.68999999994</v>
      </c>
      <c r="C3" s="8" t="s">
        <v>511</v>
      </c>
      <c r="D3" s="9" t="s">
        <v>512</v>
      </c>
      <c r="E3" s="9" t="s">
        <v>112</v>
      </c>
      <c r="F3" s="2" t="s">
        <v>457</v>
      </c>
      <c r="G3" s="2" t="s">
        <v>513</v>
      </c>
      <c r="H3" s="2" t="s">
        <v>514</v>
      </c>
      <c r="I3" s="2"/>
      <c r="J3" s="2" t="s">
        <v>515</v>
      </c>
      <c r="K3" s="2" t="s">
        <v>516</v>
      </c>
      <c r="L3" s="2"/>
    </row>
    <row r="4" spans="1:15" ht="18.75" customHeight="1" x14ac:dyDescent="0.25">
      <c r="A4" s="7">
        <v>3</v>
      </c>
      <c r="B4" s="8">
        <v>565354.25</v>
      </c>
      <c r="C4" s="8">
        <v>4766342.04</v>
      </c>
      <c r="D4" s="9" t="s">
        <v>517</v>
      </c>
      <c r="E4" s="9" t="s">
        <v>518</v>
      </c>
      <c r="F4" s="2" t="s">
        <v>457</v>
      </c>
      <c r="G4" s="2" t="s">
        <v>519</v>
      </c>
      <c r="H4" s="2" t="s">
        <v>510</v>
      </c>
      <c r="I4" s="2"/>
      <c r="J4" s="2" t="s">
        <v>520</v>
      </c>
      <c r="K4" s="2" t="s">
        <v>521</v>
      </c>
      <c r="L4" s="2"/>
    </row>
    <row r="5" spans="1:15" ht="18.75" customHeight="1" x14ac:dyDescent="0.25">
      <c r="A5" s="7">
        <v>4</v>
      </c>
      <c r="B5" s="8">
        <v>565376.09</v>
      </c>
      <c r="C5" s="8">
        <v>4766417.7699999996</v>
      </c>
      <c r="D5" s="9" t="s">
        <v>522</v>
      </c>
      <c r="E5" s="9" t="s">
        <v>523</v>
      </c>
      <c r="F5" s="2" t="s">
        <v>457</v>
      </c>
      <c r="G5" s="2" t="s">
        <v>2968</v>
      </c>
      <c r="H5" s="2" t="s">
        <v>514</v>
      </c>
      <c r="I5" s="2"/>
      <c r="J5" s="2"/>
      <c r="K5" s="2"/>
      <c r="L5" s="2"/>
    </row>
    <row r="6" spans="1:15" ht="18.75" customHeight="1" x14ac:dyDescent="0.25">
      <c r="A6" s="7">
        <v>5</v>
      </c>
      <c r="B6" s="8">
        <v>564988.27</v>
      </c>
      <c r="C6" s="8">
        <v>4766292.68</v>
      </c>
      <c r="D6" s="9" t="s">
        <v>2909</v>
      </c>
      <c r="E6" s="9" t="s">
        <v>524</v>
      </c>
      <c r="F6" s="2" t="s">
        <v>12</v>
      </c>
      <c r="G6" s="2" t="s">
        <v>525</v>
      </c>
      <c r="H6" s="2" t="s">
        <v>526</v>
      </c>
      <c r="I6" s="2"/>
      <c r="J6" s="2"/>
      <c r="K6" s="2"/>
      <c r="L6" s="2"/>
      <c r="M6" t="s">
        <v>2969</v>
      </c>
    </row>
    <row r="7" spans="1:15" ht="18.75" customHeight="1" x14ac:dyDescent="0.25">
      <c r="A7" s="7">
        <v>6</v>
      </c>
      <c r="B7" s="8">
        <v>565482.55000000005</v>
      </c>
      <c r="C7" s="8">
        <v>4766359.26</v>
      </c>
      <c r="D7" s="9" t="s">
        <v>2910</v>
      </c>
      <c r="E7" s="9" t="s">
        <v>527</v>
      </c>
      <c r="F7" s="2" t="s">
        <v>12</v>
      </c>
      <c r="G7" s="2" t="s">
        <v>528</v>
      </c>
      <c r="H7" s="2" t="s">
        <v>529</v>
      </c>
      <c r="I7" s="2"/>
      <c r="J7" s="2"/>
      <c r="K7" s="2"/>
      <c r="L7" s="2"/>
      <c r="O7" t="s">
        <v>3031</v>
      </c>
    </row>
    <row r="8" spans="1:15" ht="18.75" customHeight="1" x14ac:dyDescent="0.25">
      <c r="A8" s="7">
        <v>7</v>
      </c>
      <c r="B8" s="8" t="s">
        <v>530</v>
      </c>
      <c r="C8" s="8">
        <v>4769139.46</v>
      </c>
      <c r="D8" s="9" t="s">
        <v>2911</v>
      </c>
      <c r="E8" s="9" t="s">
        <v>531</v>
      </c>
      <c r="F8" s="2" t="s">
        <v>532</v>
      </c>
      <c r="G8" s="2" t="s">
        <v>533</v>
      </c>
      <c r="H8" s="2" t="s">
        <v>534</v>
      </c>
      <c r="I8" s="2"/>
      <c r="J8" s="2"/>
      <c r="K8" s="2"/>
      <c r="L8" s="2"/>
    </row>
    <row r="9" spans="1:15" ht="18.75" customHeight="1" x14ac:dyDescent="0.25">
      <c r="A9" s="7">
        <v>8</v>
      </c>
      <c r="B9" s="8">
        <v>558634.77</v>
      </c>
      <c r="C9" s="8">
        <v>4766656.4800000004</v>
      </c>
      <c r="D9" s="9" t="s">
        <v>535</v>
      </c>
      <c r="E9" s="9" t="s">
        <v>536</v>
      </c>
      <c r="F9" s="2" t="s">
        <v>537</v>
      </c>
      <c r="G9" s="2" t="s">
        <v>538</v>
      </c>
      <c r="H9" s="2" t="s">
        <v>534</v>
      </c>
      <c r="I9" s="2"/>
      <c r="J9" s="2"/>
      <c r="K9" s="2"/>
      <c r="L9" s="2"/>
    </row>
    <row r="10" spans="1:15" ht="18.75" customHeight="1" x14ac:dyDescent="0.25">
      <c r="A10" s="7">
        <v>9</v>
      </c>
      <c r="B10" s="8">
        <v>566262.76</v>
      </c>
      <c r="C10" s="8">
        <v>4764882.57</v>
      </c>
      <c r="D10" s="9" t="s">
        <v>539</v>
      </c>
      <c r="E10" s="9" t="s">
        <v>540</v>
      </c>
      <c r="F10" s="2" t="s">
        <v>464</v>
      </c>
      <c r="G10" s="2" t="s">
        <v>541</v>
      </c>
      <c r="H10" s="2" t="s">
        <v>510</v>
      </c>
      <c r="I10" s="2"/>
      <c r="J10" s="2" t="s">
        <v>542</v>
      </c>
      <c r="K10" s="2" t="s">
        <v>543</v>
      </c>
      <c r="L10" s="2"/>
    </row>
    <row r="11" spans="1:15" ht="18.75" customHeight="1" x14ac:dyDescent="0.25">
      <c r="A11" s="7">
        <v>10</v>
      </c>
      <c r="B11" s="8">
        <v>566158.43999999994</v>
      </c>
      <c r="C11" s="8">
        <v>4765610.45</v>
      </c>
      <c r="D11" s="9" t="s">
        <v>544</v>
      </c>
      <c r="E11" s="9" t="s">
        <v>545</v>
      </c>
      <c r="F11" s="2" t="s">
        <v>464</v>
      </c>
      <c r="G11" s="2" t="s">
        <v>546</v>
      </c>
      <c r="H11" s="2" t="s">
        <v>510</v>
      </c>
      <c r="I11" s="34" t="s">
        <v>3135</v>
      </c>
      <c r="J11" s="2">
        <v>722830442</v>
      </c>
      <c r="K11" s="2"/>
      <c r="L11" s="44" t="s">
        <v>2973</v>
      </c>
      <c r="M11" s="13" t="s">
        <v>446</v>
      </c>
      <c r="N11" s="34" t="s">
        <v>2972</v>
      </c>
    </row>
    <row r="12" spans="1:15" ht="18.75" customHeight="1" x14ac:dyDescent="0.25">
      <c r="A12" s="7">
        <v>11</v>
      </c>
      <c r="B12" s="8">
        <v>566351.57999999996</v>
      </c>
      <c r="C12" s="8">
        <v>4764674.08</v>
      </c>
      <c r="D12" s="9" t="s">
        <v>2912</v>
      </c>
      <c r="E12" s="9" t="s">
        <v>547</v>
      </c>
      <c r="F12" s="2" t="s">
        <v>464</v>
      </c>
      <c r="G12" s="2" t="s">
        <v>525</v>
      </c>
      <c r="H12" s="2" t="s">
        <v>526</v>
      </c>
      <c r="I12" s="2"/>
      <c r="J12" s="2"/>
      <c r="K12" s="2"/>
      <c r="L12" s="2"/>
      <c r="N12" s="43"/>
    </row>
    <row r="13" spans="1:15" ht="18.75" customHeight="1" x14ac:dyDescent="0.25">
      <c r="A13" s="7">
        <v>12</v>
      </c>
      <c r="B13" s="8">
        <v>554318.97</v>
      </c>
      <c r="C13" s="8">
        <v>4766909.57</v>
      </c>
      <c r="D13" s="9" t="s">
        <v>548</v>
      </c>
      <c r="E13" s="9" t="s">
        <v>549</v>
      </c>
      <c r="F13" s="2" t="s">
        <v>468</v>
      </c>
      <c r="G13" s="2" t="s">
        <v>550</v>
      </c>
      <c r="H13" s="2" t="s">
        <v>551</v>
      </c>
      <c r="I13" s="2"/>
      <c r="J13" s="2"/>
      <c r="K13" s="2"/>
      <c r="L13" s="2"/>
      <c r="M13" s="43"/>
    </row>
    <row r="14" spans="1:15" ht="18.75" customHeight="1" x14ac:dyDescent="0.25">
      <c r="A14" s="7">
        <v>13</v>
      </c>
      <c r="B14" s="8">
        <v>554170.03</v>
      </c>
      <c r="C14" s="8">
        <v>4767307.5199999996</v>
      </c>
      <c r="D14" s="9" t="s">
        <v>552</v>
      </c>
      <c r="E14" s="9" t="s">
        <v>553</v>
      </c>
      <c r="F14" s="2" t="s">
        <v>468</v>
      </c>
      <c r="G14" s="2" t="s">
        <v>554</v>
      </c>
      <c r="H14" s="2" t="s">
        <v>510</v>
      </c>
      <c r="I14" s="2"/>
      <c r="J14" s="2"/>
      <c r="K14" s="2"/>
      <c r="L14" s="2"/>
    </row>
    <row r="15" spans="1:15" ht="18.75" customHeight="1" x14ac:dyDescent="0.25">
      <c r="A15" s="7">
        <v>14</v>
      </c>
      <c r="B15" s="8">
        <v>554175.01</v>
      </c>
      <c r="C15" s="8">
        <v>4766987.16</v>
      </c>
      <c r="D15" s="9" t="s">
        <v>555</v>
      </c>
      <c r="E15" s="9" t="s">
        <v>556</v>
      </c>
      <c r="F15" s="2" t="s">
        <v>468</v>
      </c>
      <c r="G15" s="2" t="s">
        <v>557</v>
      </c>
      <c r="H15" s="2" t="s">
        <v>558</v>
      </c>
      <c r="I15" s="2"/>
      <c r="J15" s="2"/>
      <c r="K15" s="2"/>
      <c r="L15" s="2"/>
    </row>
    <row r="16" spans="1:15" ht="18.75" customHeight="1" x14ac:dyDescent="0.25">
      <c r="A16" s="7">
        <v>15</v>
      </c>
      <c r="B16" s="8">
        <v>554507.63</v>
      </c>
      <c r="C16" s="8">
        <v>4767047.67</v>
      </c>
      <c r="D16" s="9" t="s">
        <v>559</v>
      </c>
      <c r="E16" s="9" t="s">
        <v>560</v>
      </c>
      <c r="F16" s="2" t="s">
        <v>468</v>
      </c>
      <c r="G16" s="2" t="s">
        <v>561</v>
      </c>
      <c r="H16" s="2" t="s">
        <v>558</v>
      </c>
      <c r="I16" s="2"/>
      <c r="J16" s="2"/>
      <c r="K16" s="2"/>
      <c r="L16" s="2"/>
    </row>
    <row r="17" spans="1:12" ht="18.75" customHeight="1" x14ac:dyDescent="0.25">
      <c r="A17" s="7">
        <v>16</v>
      </c>
      <c r="B17" s="8">
        <v>554297.03</v>
      </c>
      <c r="C17" s="8">
        <v>4766728.37</v>
      </c>
      <c r="D17" s="9" t="s">
        <v>2913</v>
      </c>
      <c r="E17" s="9" t="s">
        <v>562</v>
      </c>
      <c r="F17" s="2" t="s">
        <v>468</v>
      </c>
      <c r="G17" s="2" t="s">
        <v>563</v>
      </c>
      <c r="H17" s="2" t="s">
        <v>514</v>
      </c>
      <c r="I17" s="2"/>
      <c r="J17" s="2"/>
      <c r="K17" s="2"/>
      <c r="L17" s="2"/>
    </row>
    <row r="18" spans="1:12" ht="18.75" customHeight="1" x14ac:dyDescent="0.25">
      <c r="A18" s="7">
        <v>17</v>
      </c>
      <c r="B18" s="8">
        <v>554288.06999999995</v>
      </c>
      <c r="C18" s="8">
        <v>4766561.49</v>
      </c>
      <c r="D18" s="9" t="s">
        <v>2914</v>
      </c>
      <c r="E18" s="9" t="s">
        <v>564</v>
      </c>
      <c r="F18" s="2" t="s">
        <v>41</v>
      </c>
      <c r="G18" s="2" t="s">
        <v>528</v>
      </c>
      <c r="H18" s="2" t="s">
        <v>529</v>
      </c>
      <c r="I18" s="2"/>
      <c r="J18" s="2"/>
      <c r="K18" s="2"/>
      <c r="L18" s="2"/>
    </row>
    <row r="19" spans="1:12" ht="18.75" customHeight="1" x14ac:dyDescent="0.25">
      <c r="A19" s="7">
        <v>18</v>
      </c>
      <c r="B19" s="8">
        <v>565323.93999999994</v>
      </c>
      <c r="C19" s="8">
        <v>4764667.8499999996</v>
      </c>
      <c r="D19" s="9" t="s">
        <v>2915</v>
      </c>
      <c r="E19" s="9" t="s">
        <v>565</v>
      </c>
      <c r="F19" s="2" t="s">
        <v>566</v>
      </c>
      <c r="G19" s="2" t="s">
        <v>567</v>
      </c>
      <c r="H19" s="2" t="s">
        <v>526</v>
      </c>
      <c r="I19" s="2"/>
      <c r="J19" s="2"/>
      <c r="K19" s="2"/>
      <c r="L19" s="2"/>
    </row>
    <row r="20" spans="1:12" ht="18.75" customHeight="1" x14ac:dyDescent="0.25">
      <c r="A20" s="7">
        <v>19</v>
      </c>
      <c r="B20" s="8">
        <v>564912.87</v>
      </c>
      <c r="C20" s="8">
        <v>4764186.6100000003</v>
      </c>
      <c r="D20" s="9" t="s">
        <v>2916</v>
      </c>
      <c r="E20" s="9" t="s">
        <v>568</v>
      </c>
      <c r="F20" s="2" t="s">
        <v>566</v>
      </c>
      <c r="G20" s="2" t="s">
        <v>569</v>
      </c>
      <c r="H20" s="2" t="s">
        <v>526</v>
      </c>
      <c r="I20" s="2"/>
      <c r="J20" s="2"/>
      <c r="K20" s="2"/>
      <c r="L20" s="2"/>
    </row>
    <row r="21" spans="1:12" ht="18.75" customHeight="1" x14ac:dyDescent="0.25">
      <c r="A21" s="7">
        <v>20</v>
      </c>
      <c r="B21" s="8">
        <v>566579.21</v>
      </c>
      <c r="C21" s="8">
        <v>4767039.99</v>
      </c>
      <c r="D21" s="9" t="s">
        <v>570</v>
      </c>
      <c r="E21" s="9" t="s">
        <v>571</v>
      </c>
      <c r="F21" s="2" t="s">
        <v>472</v>
      </c>
      <c r="G21" s="2" t="s">
        <v>572</v>
      </c>
      <c r="H21" s="2" t="s">
        <v>510</v>
      </c>
      <c r="I21" s="2"/>
      <c r="J21" s="2"/>
      <c r="K21" s="2"/>
      <c r="L21" s="2"/>
    </row>
    <row r="22" spans="1:12" ht="18.75" customHeight="1" x14ac:dyDescent="0.25">
      <c r="A22" s="7">
        <v>21</v>
      </c>
      <c r="B22" s="8">
        <v>566840.65</v>
      </c>
      <c r="C22" s="8">
        <v>4767113.96</v>
      </c>
      <c r="D22" s="9" t="s">
        <v>2917</v>
      </c>
      <c r="E22" s="9" t="s">
        <v>573</v>
      </c>
      <c r="F22" s="2" t="s">
        <v>16</v>
      </c>
      <c r="G22" s="2" t="s">
        <v>528</v>
      </c>
      <c r="H22" s="2" t="s">
        <v>529</v>
      </c>
      <c r="I22" s="2"/>
      <c r="J22" s="2"/>
      <c r="K22" s="2"/>
      <c r="L22" s="2"/>
    </row>
    <row r="23" spans="1:12" ht="18.75" customHeight="1" x14ac:dyDescent="0.25">
      <c r="A23" s="7">
        <v>22</v>
      </c>
      <c r="B23" s="8">
        <v>560591.32999999996</v>
      </c>
      <c r="C23" s="8">
        <v>4765838.2699999996</v>
      </c>
      <c r="D23" s="9" t="s">
        <v>574</v>
      </c>
      <c r="E23" s="9" t="s">
        <v>575</v>
      </c>
      <c r="F23" s="2" t="s">
        <v>576</v>
      </c>
      <c r="G23" s="2" t="s">
        <v>577</v>
      </c>
      <c r="H23" s="2" t="s">
        <v>514</v>
      </c>
      <c r="I23" s="2"/>
      <c r="J23" s="2"/>
      <c r="K23" s="2"/>
      <c r="L23" s="2"/>
    </row>
    <row r="24" spans="1:12" ht="18.75" customHeight="1" x14ac:dyDescent="0.25">
      <c r="A24" s="7">
        <v>23</v>
      </c>
      <c r="B24" s="8" t="s">
        <v>578</v>
      </c>
      <c r="C24" s="8">
        <v>4762337.7300000004</v>
      </c>
      <c r="D24" s="9" t="s">
        <v>579</v>
      </c>
      <c r="E24" s="9" t="s">
        <v>580</v>
      </c>
      <c r="F24" s="2" t="s">
        <v>581</v>
      </c>
      <c r="G24" s="2" t="s">
        <v>314</v>
      </c>
      <c r="H24" s="2" t="s">
        <v>510</v>
      </c>
      <c r="I24" s="2"/>
      <c r="J24" s="2" t="s">
        <v>582</v>
      </c>
      <c r="K24" s="34" t="s">
        <v>3108</v>
      </c>
      <c r="L24" s="2"/>
    </row>
    <row r="25" spans="1:12" ht="18.75" customHeight="1" x14ac:dyDescent="0.25">
      <c r="A25" s="7">
        <v>24</v>
      </c>
      <c r="B25" s="8">
        <v>555558.07999999996</v>
      </c>
      <c r="C25" s="8">
        <v>4771130.83</v>
      </c>
      <c r="D25" s="9" t="s">
        <v>583</v>
      </c>
      <c r="E25" s="9" t="s">
        <v>584</v>
      </c>
      <c r="F25" s="2" t="s">
        <v>585</v>
      </c>
      <c r="G25" s="2" t="s">
        <v>586</v>
      </c>
      <c r="H25" s="2" t="s">
        <v>510</v>
      </c>
      <c r="I25" s="2"/>
      <c r="J25" s="2"/>
      <c r="K25" s="2"/>
      <c r="L25" s="2"/>
    </row>
    <row r="26" spans="1:12" ht="18.75" customHeight="1" x14ac:dyDescent="0.25">
      <c r="A26" s="7">
        <v>25</v>
      </c>
      <c r="B26" s="8">
        <v>555694.16</v>
      </c>
      <c r="C26" s="8">
        <v>4771261.88</v>
      </c>
      <c r="D26" s="9" t="s">
        <v>587</v>
      </c>
      <c r="E26" s="9" t="s">
        <v>588</v>
      </c>
      <c r="F26" s="2" t="s">
        <v>585</v>
      </c>
      <c r="G26" s="2" t="s">
        <v>589</v>
      </c>
      <c r="H26" s="2" t="s">
        <v>514</v>
      </c>
      <c r="I26" s="2"/>
      <c r="J26" s="2"/>
      <c r="K26" s="2"/>
      <c r="L26" s="2"/>
    </row>
    <row r="27" spans="1:12" ht="18.75" customHeight="1" x14ac:dyDescent="0.25">
      <c r="A27" s="7">
        <v>26</v>
      </c>
      <c r="B27" s="8">
        <v>555765.25</v>
      </c>
      <c r="C27" s="8">
        <v>4771298.1100000003</v>
      </c>
      <c r="D27" s="9" t="s">
        <v>590</v>
      </c>
      <c r="E27" s="9" t="s">
        <v>591</v>
      </c>
      <c r="F27" s="2" t="s">
        <v>585</v>
      </c>
      <c r="G27" s="2" t="s">
        <v>592</v>
      </c>
      <c r="H27" s="2" t="s">
        <v>551</v>
      </c>
      <c r="I27" s="2"/>
      <c r="J27" s="2"/>
      <c r="K27" s="2"/>
      <c r="L27" s="2"/>
    </row>
    <row r="28" spans="1:12" ht="18.75" customHeight="1" x14ac:dyDescent="0.25">
      <c r="A28" s="7">
        <v>27</v>
      </c>
      <c r="B28" s="8" t="s">
        <v>593</v>
      </c>
      <c r="C28" s="8">
        <v>4771270.67</v>
      </c>
      <c r="D28" s="9" t="s">
        <v>594</v>
      </c>
      <c r="E28" s="9" t="s">
        <v>595</v>
      </c>
      <c r="F28" s="2" t="s">
        <v>585</v>
      </c>
      <c r="G28" s="2" t="s">
        <v>596</v>
      </c>
      <c r="H28" s="2" t="s">
        <v>597</v>
      </c>
      <c r="I28" s="2"/>
      <c r="J28" s="2"/>
      <c r="K28" s="2"/>
      <c r="L28" s="2"/>
    </row>
    <row r="29" spans="1:12" ht="18.75" customHeight="1" x14ac:dyDescent="0.25">
      <c r="A29" s="7">
        <v>28</v>
      </c>
      <c r="B29" s="8">
        <v>554909.68999999994</v>
      </c>
      <c r="C29" s="8">
        <v>4770190.1399999997</v>
      </c>
      <c r="D29" s="9" t="s">
        <v>2918</v>
      </c>
      <c r="E29" s="9" t="s">
        <v>598</v>
      </c>
      <c r="F29" s="2" t="s">
        <v>585</v>
      </c>
      <c r="G29" s="2" t="s">
        <v>599</v>
      </c>
      <c r="H29" s="2" t="s">
        <v>600</v>
      </c>
      <c r="I29" s="2"/>
      <c r="J29" s="2"/>
      <c r="K29" s="2"/>
      <c r="L29" s="2"/>
    </row>
    <row r="30" spans="1:12" ht="18.75" customHeight="1" x14ac:dyDescent="0.25">
      <c r="A30" s="7">
        <v>29</v>
      </c>
      <c r="B30" s="8">
        <v>555841.79</v>
      </c>
      <c r="C30" s="8">
        <v>4771263.6399999997</v>
      </c>
      <c r="D30" s="9" t="s">
        <v>601</v>
      </c>
      <c r="E30" s="9" t="s">
        <v>602</v>
      </c>
      <c r="F30" s="2" t="s">
        <v>585</v>
      </c>
      <c r="G30" s="2" t="s">
        <v>603</v>
      </c>
      <c r="H30" s="2" t="s">
        <v>597</v>
      </c>
      <c r="I30" s="2"/>
      <c r="J30" s="2"/>
      <c r="K30" s="2"/>
      <c r="L30" s="2"/>
    </row>
    <row r="31" spans="1:12" ht="18.75" customHeight="1" x14ac:dyDescent="0.25">
      <c r="A31" s="7">
        <v>30</v>
      </c>
      <c r="B31" s="8">
        <v>559225.06999999995</v>
      </c>
      <c r="C31" s="8">
        <v>4762464.6900000004</v>
      </c>
      <c r="D31" s="9" t="s">
        <v>2557</v>
      </c>
      <c r="E31" s="9" t="s">
        <v>604</v>
      </c>
      <c r="F31" s="2" t="s">
        <v>605</v>
      </c>
      <c r="G31" s="2" t="s">
        <v>606</v>
      </c>
      <c r="H31" s="2" t="s">
        <v>510</v>
      </c>
      <c r="I31" s="2"/>
      <c r="J31" s="2" t="s">
        <v>607</v>
      </c>
      <c r="K31" s="2" t="s">
        <v>413</v>
      </c>
      <c r="L31" s="2"/>
    </row>
    <row r="32" spans="1:12" ht="18.75" customHeight="1" x14ac:dyDescent="0.25">
      <c r="A32" s="7">
        <v>31</v>
      </c>
      <c r="B32" s="8">
        <v>556055.74</v>
      </c>
      <c r="C32" s="8">
        <v>4771347.0199999996</v>
      </c>
      <c r="D32" s="9" t="s">
        <v>608</v>
      </c>
      <c r="E32" s="9" t="s">
        <v>609</v>
      </c>
      <c r="F32" s="2" t="s">
        <v>476</v>
      </c>
      <c r="G32" s="2" t="s">
        <v>610</v>
      </c>
      <c r="H32" s="2" t="s">
        <v>510</v>
      </c>
      <c r="I32" s="2"/>
      <c r="J32" s="2"/>
      <c r="K32" s="2"/>
      <c r="L32" s="2"/>
    </row>
    <row r="33" spans="1:12" ht="18.75" customHeight="1" x14ac:dyDescent="0.25">
      <c r="A33" s="7">
        <v>32</v>
      </c>
      <c r="B33" s="8">
        <v>555922.56999999995</v>
      </c>
      <c r="C33" s="8">
        <v>4771179.45</v>
      </c>
      <c r="D33" s="9" t="s">
        <v>611</v>
      </c>
      <c r="E33" s="9" t="s">
        <v>612</v>
      </c>
      <c r="F33" s="2" t="s">
        <v>476</v>
      </c>
      <c r="G33" s="2" t="s">
        <v>613</v>
      </c>
      <c r="H33" s="2" t="s">
        <v>514</v>
      </c>
      <c r="I33" s="2"/>
      <c r="J33" s="2"/>
      <c r="K33" s="2"/>
      <c r="L33" s="2"/>
    </row>
    <row r="34" spans="1:12" ht="18.75" customHeight="1" x14ac:dyDescent="0.25">
      <c r="A34" s="7">
        <v>33</v>
      </c>
      <c r="B34" s="8">
        <v>555373.31000000006</v>
      </c>
      <c r="C34" s="8">
        <v>4770851.0199999996</v>
      </c>
      <c r="D34" s="9" t="s">
        <v>614</v>
      </c>
      <c r="E34" s="9" t="s">
        <v>615</v>
      </c>
      <c r="F34" s="2" t="s">
        <v>476</v>
      </c>
      <c r="G34" s="2" t="s">
        <v>616</v>
      </c>
      <c r="H34" s="2" t="s">
        <v>514</v>
      </c>
      <c r="I34" s="2"/>
      <c r="J34" s="2"/>
      <c r="K34" s="2"/>
      <c r="L34" s="2"/>
    </row>
    <row r="35" spans="1:12" ht="18.75" customHeight="1" x14ac:dyDescent="0.25">
      <c r="A35" s="7">
        <v>34</v>
      </c>
      <c r="B35" s="8" t="s">
        <v>617</v>
      </c>
      <c r="C35" s="8">
        <v>4770887.13</v>
      </c>
      <c r="D35" s="9" t="s">
        <v>618</v>
      </c>
      <c r="E35" s="9" t="s">
        <v>619</v>
      </c>
      <c r="F35" s="2" t="s">
        <v>476</v>
      </c>
      <c r="G35" s="2" t="s">
        <v>620</v>
      </c>
      <c r="H35" s="2" t="s">
        <v>551</v>
      </c>
      <c r="I35" s="2"/>
      <c r="J35" s="2"/>
      <c r="K35" s="2"/>
      <c r="L35" s="2"/>
    </row>
    <row r="36" spans="1:12" ht="18.75" customHeight="1" x14ac:dyDescent="0.25">
      <c r="A36" s="7">
        <v>35</v>
      </c>
      <c r="B36" s="8">
        <v>555477.57999999996</v>
      </c>
      <c r="C36" s="8" t="s">
        <v>621</v>
      </c>
      <c r="D36" s="9" t="s">
        <v>2919</v>
      </c>
      <c r="E36" s="9" t="s">
        <v>622</v>
      </c>
      <c r="F36" s="2" t="s">
        <v>476</v>
      </c>
      <c r="G36" s="2" t="s">
        <v>623</v>
      </c>
      <c r="H36" s="2" t="s">
        <v>514</v>
      </c>
      <c r="I36" s="2"/>
      <c r="J36" s="2"/>
      <c r="K36" s="2"/>
      <c r="L36" s="2"/>
    </row>
    <row r="37" spans="1:12" ht="18.75" customHeight="1" x14ac:dyDescent="0.25">
      <c r="A37" s="7">
        <v>36</v>
      </c>
      <c r="B37" s="8">
        <v>555811.93999999994</v>
      </c>
      <c r="C37" s="8">
        <v>4771027.84</v>
      </c>
      <c r="D37" s="9" t="s">
        <v>2920</v>
      </c>
      <c r="E37" s="9" t="s">
        <v>624</v>
      </c>
      <c r="F37" s="2" t="s">
        <v>476</v>
      </c>
      <c r="G37" s="2" t="s">
        <v>528</v>
      </c>
      <c r="H37" s="2" t="s">
        <v>529</v>
      </c>
      <c r="I37" s="2"/>
      <c r="J37" s="2"/>
      <c r="K37" s="2"/>
      <c r="L37" s="2"/>
    </row>
    <row r="38" spans="1:12" ht="18.75" customHeight="1" x14ac:dyDescent="0.25">
      <c r="A38" s="7">
        <v>37</v>
      </c>
      <c r="B38" s="8"/>
      <c r="C38" s="8"/>
      <c r="D38" s="8"/>
      <c r="E38" s="8"/>
      <c r="F38" s="2"/>
      <c r="G38" s="2" t="s">
        <v>2970</v>
      </c>
      <c r="H38" s="2" t="s">
        <v>625</v>
      </c>
      <c r="I38" s="2"/>
      <c r="J38" s="2"/>
      <c r="K38" s="2"/>
      <c r="L38" s="2"/>
    </row>
    <row r="39" spans="1:12" ht="18.75" customHeight="1" x14ac:dyDescent="0.25">
      <c r="A39" s="7">
        <v>38</v>
      </c>
      <c r="B39" s="8"/>
      <c r="C39" s="8"/>
      <c r="D39" s="8"/>
      <c r="E39" s="8"/>
      <c r="F39" s="2"/>
      <c r="G39" s="2" t="s">
        <v>2971</v>
      </c>
      <c r="H39" s="2" t="s">
        <v>625</v>
      </c>
      <c r="I39" s="2"/>
      <c r="J39" s="2"/>
      <c r="K39" s="2"/>
      <c r="L39" s="2"/>
    </row>
    <row r="40" spans="1:12" ht="18.75" customHeight="1" x14ac:dyDescent="0.25">
      <c r="A40" s="7">
        <v>39</v>
      </c>
      <c r="B40" s="8"/>
      <c r="C40" s="8"/>
      <c r="D40" s="8"/>
      <c r="E40" s="8"/>
      <c r="F40" s="2"/>
      <c r="G40" s="2" t="s">
        <v>626</v>
      </c>
      <c r="H40" s="2" t="s">
        <v>510</v>
      </c>
      <c r="I40" s="2"/>
      <c r="J40" s="2"/>
      <c r="K40" s="2"/>
      <c r="L40" s="2"/>
    </row>
    <row r="41" spans="1:12" ht="18.75" customHeight="1" x14ac:dyDescent="0.25">
      <c r="A41" s="7">
        <v>40</v>
      </c>
      <c r="B41" s="8"/>
      <c r="C41" s="8"/>
      <c r="D41" s="8"/>
      <c r="E41" s="8"/>
      <c r="F41" s="2"/>
      <c r="G41" s="2" t="s">
        <v>627</v>
      </c>
      <c r="H41" s="2" t="s">
        <v>510</v>
      </c>
      <c r="I41" s="2"/>
      <c r="J41" s="2"/>
      <c r="K41" s="2"/>
      <c r="L41" s="2"/>
    </row>
    <row r="42" spans="1:12" ht="18.75" customHeight="1" x14ac:dyDescent="0.25">
      <c r="A42" s="7">
        <v>41</v>
      </c>
      <c r="B42" s="8"/>
      <c r="C42" s="8"/>
      <c r="D42" s="8"/>
      <c r="E42" s="8"/>
      <c r="F42" s="2"/>
      <c r="G42" s="2" t="s">
        <v>628</v>
      </c>
      <c r="H42" s="2" t="s">
        <v>597</v>
      </c>
      <c r="I42" s="2"/>
      <c r="J42" s="2"/>
      <c r="K42" s="2"/>
      <c r="L42" s="2"/>
    </row>
    <row r="43" spans="1:12" ht="18.75" customHeight="1" x14ac:dyDescent="0.25">
      <c r="A43" s="7">
        <v>42</v>
      </c>
      <c r="B43" s="8"/>
      <c r="C43" s="8"/>
      <c r="D43" s="8"/>
      <c r="E43" s="8"/>
      <c r="F43" s="2"/>
      <c r="G43" s="2" t="s">
        <v>629</v>
      </c>
      <c r="H43" s="2" t="s">
        <v>597</v>
      </c>
      <c r="I43" s="2"/>
      <c r="J43" s="2"/>
      <c r="K43" s="2"/>
      <c r="L43" s="2"/>
    </row>
    <row r="44" spans="1:12" ht="18.75" customHeight="1" x14ac:dyDescent="0.25">
      <c r="A44" s="7">
        <v>43</v>
      </c>
      <c r="B44" s="8"/>
      <c r="C44" s="8"/>
      <c r="D44" s="8"/>
      <c r="E44" s="8"/>
      <c r="F44" s="2"/>
      <c r="G44" s="2" t="s">
        <v>630</v>
      </c>
      <c r="H44" s="2" t="s">
        <v>510</v>
      </c>
      <c r="I44" s="2"/>
      <c r="J44" s="2"/>
      <c r="K44" s="2"/>
      <c r="L44" s="2"/>
    </row>
    <row r="45" spans="1:12" ht="18.75" customHeight="1" x14ac:dyDescent="0.25">
      <c r="A45" s="7">
        <v>44</v>
      </c>
      <c r="B45" s="8"/>
      <c r="C45" s="8"/>
      <c r="D45" s="8"/>
      <c r="E45" s="8"/>
      <c r="F45" s="2"/>
      <c r="G45" s="2" t="s">
        <v>631</v>
      </c>
      <c r="H45" s="2" t="s">
        <v>510</v>
      </c>
      <c r="I45" s="2"/>
      <c r="J45" s="2"/>
      <c r="K45" s="2"/>
      <c r="L45" s="2"/>
    </row>
    <row r="46" spans="1:12" ht="18.75" customHeight="1" x14ac:dyDescent="0.25">
      <c r="A46" s="7">
        <v>45</v>
      </c>
      <c r="B46" s="8"/>
      <c r="C46" s="8"/>
      <c r="D46" s="8"/>
      <c r="E46" s="8"/>
      <c r="F46" s="2"/>
      <c r="G46" s="2" t="s">
        <v>632</v>
      </c>
      <c r="H46" s="2" t="s">
        <v>551</v>
      </c>
      <c r="I46" s="2"/>
      <c r="J46" s="2"/>
      <c r="K46" s="2"/>
      <c r="L46" s="2"/>
    </row>
    <row r="47" spans="1:12" ht="18.75" customHeight="1" x14ac:dyDescent="0.25">
      <c r="A47" s="7">
        <v>46</v>
      </c>
      <c r="B47" s="8"/>
      <c r="C47" s="8"/>
      <c r="D47" s="8"/>
      <c r="E47" s="8"/>
      <c r="F47" s="2"/>
      <c r="G47" s="2" t="s">
        <v>633</v>
      </c>
      <c r="H47" s="2"/>
      <c r="I47" s="2"/>
      <c r="J47" s="2"/>
      <c r="K47" s="2"/>
      <c r="L47" s="2"/>
    </row>
    <row r="48" spans="1:12" ht="18.75" customHeight="1" x14ac:dyDescent="0.25">
      <c r="A48" s="7">
        <v>47</v>
      </c>
      <c r="B48" s="8"/>
      <c r="C48" s="8"/>
      <c r="D48" s="8"/>
      <c r="E48" s="8"/>
      <c r="F48" s="2"/>
      <c r="G48" s="2" t="s">
        <v>634</v>
      </c>
      <c r="H48" s="2" t="s">
        <v>510</v>
      </c>
      <c r="I48" s="2"/>
      <c r="J48" s="2"/>
      <c r="K48" s="2"/>
      <c r="L48" s="2"/>
    </row>
    <row r="49" spans="1:14" ht="18.75" customHeight="1" x14ac:dyDescent="0.25">
      <c r="A49" s="7">
        <v>48</v>
      </c>
      <c r="B49" s="8"/>
      <c r="C49" s="8"/>
      <c r="D49" s="8"/>
      <c r="E49" s="8"/>
      <c r="F49" s="2"/>
      <c r="G49" s="2" t="s">
        <v>635</v>
      </c>
      <c r="H49" s="2" t="s">
        <v>514</v>
      </c>
      <c r="I49" s="2"/>
      <c r="J49" s="2"/>
      <c r="K49" s="2"/>
      <c r="L49" s="2"/>
    </row>
    <row r="50" spans="1:14" ht="18.75" customHeight="1" x14ac:dyDescent="0.25">
      <c r="A50" s="7">
        <v>49</v>
      </c>
      <c r="B50" s="8"/>
      <c r="C50" s="8"/>
      <c r="D50" s="8"/>
      <c r="E50" s="8"/>
      <c r="F50" s="2"/>
      <c r="G50" s="2" t="s">
        <v>636</v>
      </c>
      <c r="H50" s="2" t="s">
        <v>558</v>
      </c>
      <c r="I50" s="2"/>
      <c r="J50" s="2"/>
      <c r="K50" s="2"/>
      <c r="L50" s="2"/>
    </row>
    <row r="51" spans="1:14" ht="18.75" customHeight="1" x14ac:dyDescent="0.25">
      <c r="A51" s="7">
        <v>50</v>
      </c>
      <c r="B51" s="8"/>
      <c r="C51" s="8"/>
      <c r="D51" s="8"/>
      <c r="E51" s="8"/>
      <c r="F51" s="2"/>
      <c r="G51" s="2" t="s">
        <v>637</v>
      </c>
      <c r="H51" s="2" t="s">
        <v>558</v>
      </c>
      <c r="I51" s="2"/>
      <c r="J51" s="2"/>
      <c r="K51" s="2"/>
      <c r="L51" s="2"/>
    </row>
    <row r="52" spans="1:14" ht="18.75" customHeight="1" x14ac:dyDescent="0.25">
      <c r="A52" s="7">
        <v>51</v>
      </c>
      <c r="B52" s="8"/>
      <c r="C52" s="8"/>
      <c r="D52" s="8"/>
      <c r="E52" s="8"/>
      <c r="F52" s="2"/>
      <c r="G52" s="2" t="s">
        <v>638</v>
      </c>
      <c r="H52" s="2"/>
      <c r="I52" s="2"/>
      <c r="J52" s="2"/>
      <c r="K52" s="2"/>
      <c r="L52" s="2"/>
    </row>
    <row r="53" spans="1:14" ht="18.75" customHeight="1" x14ac:dyDescent="0.25">
      <c r="A53" s="7">
        <v>53</v>
      </c>
      <c r="B53" s="8"/>
      <c r="C53" s="8"/>
      <c r="D53" s="8"/>
      <c r="E53" s="8"/>
      <c r="F53" s="2"/>
      <c r="G53" s="2" t="s">
        <v>640</v>
      </c>
      <c r="H53" s="2" t="s">
        <v>514</v>
      </c>
      <c r="I53" s="2"/>
      <c r="J53" s="2"/>
      <c r="K53" s="2"/>
      <c r="L53" s="2"/>
    </row>
    <row r="54" spans="1:14" ht="18.75" customHeight="1" x14ac:dyDescent="0.25">
      <c r="A54" s="7">
        <v>54</v>
      </c>
      <c r="B54" s="8"/>
      <c r="C54" s="8"/>
      <c r="D54" s="8"/>
      <c r="E54" s="8"/>
      <c r="F54" s="2"/>
      <c r="G54" s="2" t="s">
        <v>641</v>
      </c>
      <c r="H54" s="2" t="s">
        <v>600</v>
      </c>
      <c r="I54" s="2"/>
      <c r="J54" s="2"/>
      <c r="K54" s="2"/>
      <c r="L54" s="2"/>
    </row>
    <row r="55" spans="1:14" ht="18.75" customHeight="1" x14ac:dyDescent="0.25">
      <c r="A55" s="7">
        <v>55</v>
      </c>
      <c r="B55" s="46"/>
      <c r="C55" s="46"/>
      <c r="D55" s="8" t="s">
        <v>2993</v>
      </c>
      <c r="E55" s="8" t="s">
        <v>2994</v>
      </c>
      <c r="F55" s="2" t="s">
        <v>566</v>
      </c>
      <c r="G55" s="2" t="s">
        <v>642</v>
      </c>
      <c r="H55" s="2" t="s">
        <v>625</v>
      </c>
      <c r="I55" s="34" t="s">
        <v>2924</v>
      </c>
      <c r="J55" s="2"/>
      <c r="K55" s="2"/>
      <c r="L55" s="2"/>
      <c r="N55" s="34" t="s">
        <v>3017</v>
      </c>
    </row>
    <row r="56" spans="1:14" ht="18.75" customHeight="1" x14ac:dyDescent="0.25">
      <c r="A56" s="7">
        <v>56</v>
      </c>
      <c r="B56" s="46"/>
      <c r="C56" s="46"/>
      <c r="D56" s="8" t="s">
        <v>2995</v>
      </c>
      <c r="E56" s="8" t="s">
        <v>2996</v>
      </c>
      <c r="F56" s="2" t="s">
        <v>472</v>
      </c>
      <c r="G56" s="2" t="s">
        <v>642</v>
      </c>
      <c r="H56" s="2" t="s">
        <v>625</v>
      </c>
      <c r="I56" s="34" t="s">
        <v>2924</v>
      </c>
      <c r="J56" s="2">
        <v>690768437</v>
      </c>
      <c r="K56" s="33" t="s">
        <v>2923</v>
      </c>
      <c r="L56" s="2"/>
    </row>
    <row r="57" spans="1:14" ht="18.75" customHeight="1" x14ac:dyDescent="0.25">
      <c r="A57" s="7">
        <v>57</v>
      </c>
      <c r="B57" s="46"/>
      <c r="C57" s="46"/>
      <c r="D57" s="8"/>
      <c r="E57" s="8"/>
      <c r="F57" s="2" t="s">
        <v>585</v>
      </c>
      <c r="G57" s="2" t="s">
        <v>643</v>
      </c>
      <c r="H57" s="2" t="s">
        <v>514</v>
      </c>
      <c r="I57" s="2"/>
      <c r="J57" s="2"/>
      <c r="K57" s="2"/>
      <c r="L57" s="2"/>
    </row>
    <row r="58" spans="1:14" x14ac:dyDescent="0.25">
      <c r="B58" s="46"/>
      <c r="C58" s="46"/>
      <c r="D58" s="10" t="s">
        <v>2997</v>
      </c>
      <c r="E58" s="10" t="s">
        <v>2998</v>
      </c>
      <c r="F58" s="3" t="s">
        <v>2308</v>
      </c>
      <c r="G58" s="3" t="s">
        <v>2992</v>
      </c>
      <c r="H58" s="3" t="s">
        <v>600</v>
      </c>
    </row>
    <row r="59" spans="1:14" x14ac:dyDescent="0.25">
      <c r="D59" s="29" t="s">
        <v>3003</v>
      </c>
      <c r="E59" s="29" t="s">
        <v>3004</v>
      </c>
      <c r="F59" s="3" t="s">
        <v>464</v>
      </c>
      <c r="G59" s="3" t="s">
        <v>3134</v>
      </c>
      <c r="H59" s="3" t="s">
        <v>597</v>
      </c>
      <c r="J59" s="1">
        <v>943097334</v>
      </c>
    </row>
    <row r="64" spans="1:14" x14ac:dyDescent="0.25">
      <c r="H64" s="42"/>
    </row>
  </sheetData>
  <autoFilter ref="A1:O1" xr:uid="{00000000-0001-0000-0100-000000000000}"/>
  <hyperlinks>
    <hyperlink ref="K56" r:id="rId1" xr:uid="{E020DF72-5C1B-4A10-9262-573AC4CD0FFA}"/>
    <hyperlink ref="I56" r:id="rId2" display="https://www.gnk.eus/" xr:uid="{10841873-4A0B-4AB1-9D33-474082E69F49}"/>
    <hyperlink ref="I55" r:id="rId3" display="https://www.gnk.eus/" xr:uid="{3FE96C11-98AB-40ED-A7D3-9776290FE2B2}"/>
    <hyperlink ref="N11" r:id="rId4" xr:uid="{1292557E-71D0-495F-BB8C-2D9469AE03DF}"/>
    <hyperlink ref="K24" r:id="rId5" display="mailto: ondarredenda@gmail.com" xr:uid="{351032BC-85E8-40F2-9376-5E559C33C38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23"/>
  <sheetViews>
    <sheetView workbookViewId="0">
      <selection activeCell="F26" sqref="F26"/>
    </sheetView>
  </sheetViews>
  <sheetFormatPr baseColWidth="10" defaultColWidth="9.140625" defaultRowHeight="15" x14ac:dyDescent="0.25"/>
  <cols>
    <col min="1" max="1" width="13.5703125" style="4" bestFit="1" customWidth="1"/>
    <col min="2" max="3" width="13.5703125" style="11" bestFit="1" customWidth="1"/>
    <col min="4" max="4" width="14.28515625" style="11" bestFit="1" customWidth="1"/>
    <col min="5" max="5" width="13.5703125" style="11" bestFit="1" customWidth="1"/>
    <col min="6" max="10" width="13.5703125" style="3" bestFit="1" customWidth="1"/>
  </cols>
  <sheetData>
    <row r="1" spans="1:12" ht="18.75" customHeight="1" x14ac:dyDescent="0.25">
      <c r="B1" s="6" t="s">
        <v>0</v>
      </c>
      <c r="C1" s="6" t="s">
        <v>1</v>
      </c>
      <c r="D1" s="6" t="s">
        <v>2</v>
      </c>
      <c r="E1" s="6" t="s">
        <v>3</v>
      </c>
      <c r="F1" s="2" t="s">
        <v>4</v>
      </c>
      <c r="G1" s="2" t="s">
        <v>5</v>
      </c>
      <c r="H1" s="2" t="s">
        <v>6</v>
      </c>
      <c r="I1" s="2" t="s">
        <v>449</v>
      </c>
      <c r="J1" s="2" t="s">
        <v>450</v>
      </c>
      <c r="K1" s="13" t="s">
        <v>2929</v>
      </c>
      <c r="L1" s="13" t="s">
        <v>3030</v>
      </c>
    </row>
    <row r="2" spans="1:12" ht="18.75" customHeight="1" x14ac:dyDescent="0.25">
      <c r="A2" s="7">
        <v>1</v>
      </c>
      <c r="B2" s="12">
        <v>565461.47</v>
      </c>
      <c r="C2" s="12">
        <v>4766373.05</v>
      </c>
      <c r="D2" s="8" t="s">
        <v>451</v>
      </c>
      <c r="E2" s="8" t="s">
        <v>452</v>
      </c>
      <c r="F2" s="2" t="s">
        <v>12</v>
      </c>
      <c r="G2" s="2" t="s">
        <v>2981</v>
      </c>
      <c r="H2" s="2" t="s">
        <v>453</v>
      </c>
      <c r="I2" s="2" t="s">
        <v>454</v>
      </c>
      <c r="J2" s="34" t="s">
        <v>2976</v>
      </c>
    </row>
    <row r="3" spans="1:12" ht="18.75" customHeight="1" x14ac:dyDescent="0.25">
      <c r="A3" s="7">
        <v>2</v>
      </c>
      <c r="B3" s="12">
        <v>565291.29</v>
      </c>
      <c r="C3" s="12">
        <v>4766281.47</v>
      </c>
      <c r="D3" s="8" t="s">
        <v>455</v>
      </c>
      <c r="E3" s="8" t="s">
        <v>456</v>
      </c>
      <c r="F3" s="2" t="s">
        <v>457</v>
      </c>
      <c r="G3" s="2" t="s">
        <v>458</v>
      </c>
      <c r="H3" s="2" t="s">
        <v>459</v>
      </c>
      <c r="I3" s="2" t="s">
        <v>460</v>
      </c>
      <c r="J3" s="36" t="s">
        <v>461</v>
      </c>
    </row>
    <row r="4" spans="1:12" ht="18.75" customHeight="1" x14ac:dyDescent="0.25">
      <c r="A4" s="7">
        <v>3</v>
      </c>
      <c r="B4" s="12">
        <v>566246.71</v>
      </c>
      <c r="C4" s="12">
        <v>4764941.2699999996</v>
      </c>
      <c r="D4" s="8" t="s">
        <v>462</v>
      </c>
      <c r="E4" s="8" t="s">
        <v>463</v>
      </c>
      <c r="F4" s="2" t="s">
        <v>464</v>
      </c>
      <c r="G4" s="2" t="s">
        <v>2982</v>
      </c>
      <c r="H4" s="2" t="s">
        <v>453</v>
      </c>
      <c r="I4" s="2" t="s">
        <v>465</v>
      </c>
    </row>
    <row r="5" spans="1:12" ht="18.75" customHeight="1" x14ac:dyDescent="0.25">
      <c r="A5" s="7">
        <v>4</v>
      </c>
      <c r="B5" s="12">
        <v>554269.43000000005</v>
      </c>
      <c r="C5" s="12">
        <v>4766645.97</v>
      </c>
      <c r="D5" s="8" t="s">
        <v>466</v>
      </c>
      <c r="E5" s="8" t="s">
        <v>467</v>
      </c>
      <c r="F5" s="2" t="s">
        <v>468</v>
      </c>
      <c r="G5" s="2" t="s">
        <v>2983</v>
      </c>
      <c r="H5" s="2" t="s">
        <v>453</v>
      </c>
      <c r="I5" s="2" t="s">
        <v>469</v>
      </c>
      <c r="K5" s="37" t="s">
        <v>2930</v>
      </c>
    </row>
    <row r="6" spans="1:12" ht="18.75" customHeight="1" x14ac:dyDescent="0.25">
      <c r="A6" s="7">
        <v>5</v>
      </c>
      <c r="B6" s="12">
        <v>566812.73</v>
      </c>
      <c r="C6" s="12">
        <v>4767130.2300000004</v>
      </c>
      <c r="D6" s="8" t="s">
        <v>470</v>
      </c>
      <c r="E6" s="8" t="s">
        <v>471</v>
      </c>
      <c r="F6" s="2" t="s">
        <v>472</v>
      </c>
      <c r="G6" s="2" t="s">
        <v>2984</v>
      </c>
      <c r="H6" s="2" t="s">
        <v>453</v>
      </c>
      <c r="I6" s="2" t="s">
        <v>473</v>
      </c>
      <c r="J6" s="34" t="s">
        <v>2977</v>
      </c>
      <c r="K6" s="37" t="s">
        <v>3044</v>
      </c>
    </row>
    <row r="7" spans="1:12" ht="18.75" customHeight="1" x14ac:dyDescent="0.25">
      <c r="A7" s="7">
        <v>6</v>
      </c>
      <c r="B7" s="12">
        <v>555806.84</v>
      </c>
      <c r="C7" s="12">
        <v>4771068.45</v>
      </c>
      <c r="D7" s="8" t="s">
        <v>474</v>
      </c>
      <c r="E7" s="8" t="s">
        <v>475</v>
      </c>
      <c r="F7" s="2" t="s">
        <v>476</v>
      </c>
      <c r="G7" s="2" t="s">
        <v>2985</v>
      </c>
      <c r="H7" s="2" t="s">
        <v>453</v>
      </c>
      <c r="I7" s="2" t="s">
        <v>477</v>
      </c>
      <c r="J7" s="34" t="s">
        <v>2975</v>
      </c>
      <c r="K7" s="37" t="s">
        <v>2930</v>
      </c>
    </row>
    <row r="8" spans="1:12" ht="18.75" customHeight="1" x14ac:dyDescent="0.25">
      <c r="A8" s="7">
        <v>7</v>
      </c>
      <c r="B8" s="6">
        <v>567050.93000000005</v>
      </c>
      <c r="C8" s="6">
        <v>4761938.2699999996</v>
      </c>
      <c r="D8" s="8" t="s">
        <v>478</v>
      </c>
      <c r="E8" s="8" t="s">
        <v>479</v>
      </c>
      <c r="F8" s="1" t="s">
        <v>68</v>
      </c>
      <c r="G8" s="1" t="s">
        <v>104</v>
      </c>
      <c r="H8" s="1"/>
      <c r="I8" s="1" t="s">
        <v>106</v>
      </c>
      <c r="J8" s="1"/>
    </row>
    <row r="9" spans="1:12" ht="18.75" customHeight="1" x14ac:dyDescent="0.25">
      <c r="A9" s="7">
        <v>8</v>
      </c>
      <c r="B9" s="6">
        <v>567050.93000000005</v>
      </c>
      <c r="C9" s="6">
        <v>4761938.2699999996</v>
      </c>
      <c r="D9" s="8" t="s">
        <v>478</v>
      </c>
      <c r="E9" s="8" t="s">
        <v>479</v>
      </c>
      <c r="F9" s="1" t="s">
        <v>68</v>
      </c>
      <c r="G9" s="1" t="s">
        <v>107</v>
      </c>
      <c r="H9" s="1"/>
      <c r="I9" s="1" t="s">
        <v>108</v>
      </c>
      <c r="J9" s="1"/>
    </row>
    <row r="10" spans="1:12" ht="18.75" customHeight="1" x14ac:dyDescent="0.25">
      <c r="A10" s="7">
        <v>9</v>
      </c>
      <c r="B10" s="6">
        <v>565291.29</v>
      </c>
      <c r="C10" s="6">
        <v>4766281.47</v>
      </c>
      <c r="D10" s="8" t="s">
        <v>455</v>
      </c>
      <c r="E10" s="8" t="s">
        <v>456</v>
      </c>
      <c r="F10" s="1" t="s">
        <v>12</v>
      </c>
      <c r="G10" s="1" t="s">
        <v>121</v>
      </c>
      <c r="H10" s="1"/>
      <c r="I10" s="1"/>
      <c r="J10" s="1"/>
    </row>
    <row r="11" spans="1:12" ht="18.75" customHeight="1" x14ac:dyDescent="0.25">
      <c r="A11" s="7">
        <v>10</v>
      </c>
      <c r="B11" s="6">
        <v>565462.43999999994</v>
      </c>
      <c r="C11" s="6">
        <v>4766357.51</v>
      </c>
      <c r="D11" s="8" t="s">
        <v>480</v>
      </c>
      <c r="E11" s="8" t="s">
        <v>481</v>
      </c>
      <c r="F11" s="1" t="s">
        <v>12</v>
      </c>
      <c r="G11" s="1" t="s">
        <v>126</v>
      </c>
      <c r="H11" s="1"/>
      <c r="I11" s="1" t="s">
        <v>127</v>
      </c>
      <c r="J11" s="1"/>
    </row>
    <row r="12" spans="1:12" ht="18.75" customHeight="1" x14ac:dyDescent="0.25">
      <c r="A12" s="7">
        <v>11</v>
      </c>
      <c r="B12" s="6" t="s">
        <v>137</v>
      </c>
      <c r="C12" s="6">
        <v>4766588.83</v>
      </c>
      <c r="D12" s="8" t="s">
        <v>482</v>
      </c>
      <c r="E12" s="8" t="s">
        <v>483</v>
      </c>
      <c r="F12" s="1" t="s">
        <v>22</v>
      </c>
      <c r="G12" s="1" t="s">
        <v>141</v>
      </c>
      <c r="H12" s="1"/>
      <c r="I12" s="1" t="s">
        <v>142</v>
      </c>
      <c r="J12" s="1"/>
    </row>
    <row r="13" spans="1:12" ht="18.75" customHeight="1" x14ac:dyDescent="0.25">
      <c r="A13" s="7">
        <v>12</v>
      </c>
      <c r="B13" s="6">
        <v>570589.68000000005</v>
      </c>
      <c r="C13" s="6">
        <v>4767101.5599999996</v>
      </c>
      <c r="D13" s="8" t="s">
        <v>484</v>
      </c>
      <c r="E13" s="8" t="s">
        <v>485</v>
      </c>
      <c r="F13" s="1" t="s">
        <v>147</v>
      </c>
      <c r="G13" s="1" t="s">
        <v>148</v>
      </c>
      <c r="H13" s="1"/>
      <c r="I13" s="1" t="s">
        <v>24</v>
      </c>
      <c r="J13" s="1"/>
    </row>
    <row r="14" spans="1:12" ht="18.75" customHeight="1" x14ac:dyDescent="0.25">
      <c r="A14" s="7">
        <v>13</v>
      </c>
      <c r="B14" s="6">
        <v>562478.75</v>
      </c>
      <c r="C14" s="6">
        <v>4762526.9400000004</v>
      </c>
      <c r="D14" s="8" t="s">
        <v>486</v>
      </c>
      <c r="E14" s="8" t="s">
        <v>487</v>
      </c>
      <c r="F14" s="1" t="s">
        <v>38</v>
      </c>
      <c r="G14" s="1" t="s">
        <v>161</v>
      </c>
      <c r="H14" s="1"/>
      <c r="I14" s="1" t="s">
        <v>162</v>
      </c>
      <c r="J14" s="1"/>
    </row>
    <row r="15" spans="1:12" ht="18.75" customHeight="1" x14ac:dyDescent="0.25">
      <c r="A15" s="7">
        <v>14</v>
      </c>
      <c r="B15" s="6">
        <v>566286.25</v>
      </c>
      <c r="C15" s="6">
        <v>4765149.34</v>
      </c>
      <c r="D15" s="8" t="s">
        <v>488</v>
      </c>
      <c r="E15" s="8" t="s">
        <v>489</v>
      </c>
      <c r="F15" s="1" t="s">
        <v>32</v>
      </c>
      <c r="G15" s="1" t="s">
        <v>187</v>
      </c>
      <c r="H15" s="1"/>
      <c r="I15" s="1" t="s">
        <v>15</v>
      </c>
      <c r="J15" s="1"/>
    </row>
    <row r="16" spans="1:12" ht="18.75" customHeight="1" x14ac:dyDescent="0.25">
      <c r="A16" s="7">
        <v>15</v>
      </c>
      <c r="B16" s="6">
        <v>554226.47</v>
      </c>
      <c r="C16" s="6">
        <v>4766618.97</v>
      </c>
      <c r="D16" s="8" t="s">
        <v>490</v>
      </c>
      <c r="E16" s="8" t="s">
        <v>491</v>
      </c>
      <c r="F16" s="1" t="s">
        <v>41</v>
      </c>
      <c r="G16" s="1" t="s">
        <v>212</v>
      </c>
      <c r="H16" s="1"/>
      <c r="I16" s="1" t="s">
        <v>213</v>
      </c>
      <c r="J16" s="1"/>
    </row>
    <row r="17" spans="1:10" ht="18.75" customHeight="1" x14ac:dyDescent="0.25">
      <c r="A17" s="7">
        <v>16</v>
      </c>
      <c r="B17" s="6">
        <v>559209.56000000006</v>
      </c>
      <c r="C17" s="6">
        <v>4763502.9400000004</v>
      </c>
      <c r="D17" s="8" t="s">
        <v>492</v>
      </c>
      <c r="E17" s="8" t="s">
        <v>493</v>
      </c>
      <c r="F17" s="1" t="s">
        <v>238</v>
      </c>
      <c r="G17" s="1" t="s">
        <v>248</v>
      </c>
      <c r="H17" s="1"/>
      <c r="I17" s="1" t="s">
        <v>127</v>
      </c>
      <c r="J17" s="1"/>
    </row>
    <row r="18" spans="1:10" ht="18.75" customHeight="1" x14ac:dyDescent="0.25">
      <c r="A18" s="7">
        <v>17</v>
      </c>
      <c r="B18" s="6">
        <v>566820.78</v>
      </c>
      <c r="C18" s="6" t="s">
        <v>273</v>
      </c>
      <c r="D18" s="8" t="s">
        <v>494</v>
      </c>
      <c r="E18" s="8" t="s">
        <v>495</v>
      </c>
      <c r="F18" s="1" t="s">
        <v>16</v>
      </c>
      <c r="G18" s="1" t="s">
        <v>280</v>
      </c>
      <c r="H18" s="1"/>
      <c r="I18" s="1" t="s">
        <v>281</v>
      </c>
      <c r="J18" s="1"/>
    </row>
    <row r="19" spans="1:10" ht="18.75" customHeight="1" x14ac:dyDescent="0.25">
      <c r="A19" s="7">
        <v>18</v>
      </c>
      <c r="B19" s="6">
        <v>560734.29</v>
      </c>
      <c r="C19" s="6">
        <v>4765875.1900000004</v>
      </c>
      <c r="D19" s="8" t="s">
        <v>496</v>
      </c>
      <c r="E19" s="8" t="s">
        <v>497</v>
      </c>
      <c r="F19" s="1" t="s">
        <v>9</v>
      </c>
      <c r="G19" s="1" t="s">
        <v>294</v>
      </c>
      <c r="H19" s="1"/>
      <c r="I19" s="1" t="s">
        <v>295</v>
      </c>
      <c r="J19" s="1"/>
    </row>
    <row r="20" spans="1:10" ht="18.75" customHeight="1" x14ac:dyDescent="0.25">
      <c r="A20" s="7">
        <v>19</v>
      </c>
      <c r="B20" s="6">
        <v>560839.53</v>
      </c>
      <c r="C20" s="6">
        <v>4762009.08</v>
      </c>
      <c r="D20" s="8" t="s">
        <v>498</v>
      </c>
      <c r="E20" s="8" t="s">
        <v>499</v>
      </c>
      <c r="F20" s="1" t="s">
        <v>300</v>
      </c>
      <c r="G20" s="1" t="s">
        <v>309</v>
      </c>
      <c r="H20" s="1"/>
      <c r="I20" s="1" t="s">
        <v>21</v>
      </c>
      <c r="J20" s="1"/>
    </row>
    <row r="21" spans="1:10" ht="18.75" customHeight="1" x14ac:dyDescent="0.25">
      <c r="A21" s="7">
        <v>20</v>
      </c>
      <c r="B21" s="6">
        <v>555821.24</v>
      </c>
      <c r="C21" s="6">
        <v>4771398.41</v>
      </c>
      <c r="D21" s="8" t="s">
        <v>500</v>
      </c>
      <c r="E21" s="8" t="s">
        <v>501</v>
      </c>
      <c r="F21" s="1" t="s">
        <v>323</v>
      </c>
      <c r="G21" s="1" t="s">
        <v>340</v>
      </c>
      <c r="H21" s="1"/>
      <c r="I21" s="1" t="s">
        <v>24</v>
      </c>
      <c r="J21" s="1"/>
    </row>
    <row r="22" spans="1:10" ht="18.75" customHeight="1" x14ac:dyDescent="0.25">
      <c r="A22" s="7">
        <v>21</v>
      </c>
      <c r="B22" s="6">
        <v>559192.38</v>
      </c>
      <c r="C22" s="6" t="s">
        <v>424</v>
      </c>
      <c r="D22" s="8" t="s">
        <v>502</v>
      </c>
      <c r="E22" s="8" t="s">
        <v>503</v>
      </c>
      <c r="F22" s="1" t="s">
        <v>393</v>
      </c>
      <c r="G22" s="1" t="s">
        <v>427</v>
      </c>
      <c r="H22" s="1"/>
      <c r="I22" s="1" t="s">
        <v>428</v>
      </c>
      <c r="J22" s="1"/>
    </row>
    <row r="23" spans="1:10" ht="18.75" customHeight="1" x14ac:dyDescent="0.25">
      <c r="A23" s="7">
        <v>22</v>
      </c>
      <c r="B23" s="6">
        <v>555807.68000000005</v>
      </c>
      <c r="C23" s="6">
        <v>4771065.12</v>
      </c>
      <c r="D23" s="8" t="s">
        <v>504</v>
      </c>
      <c r="E23" s="8" t="s">
        <v>505</v>
      </c>
      <c r="F23" s="1" t="s">
        <v>439</v>
      </c>
      <c r="G23" s="1" t="s">
        <v>440</v>
      </c>
      <c r="H23" s="1"/>
      <c r="I23" s="1" t="s">
        <v>441</v>
      </c>
      <c r="J23" s="1"/>
    </row>
  </sheetData>
  <autoFilter ref="A1:L1" xr:uid="{00000000-0001-0000-0200-000000000000}"/>
  <hyperlinks>
    <hyperlink ref="J3" r:id="rId1" xr:uid="{6884CA4F-7C5A-4796-8E37-AF01E9396FD4}"/>
    <hyperlink ref="J2" r:id="rId2" xr:uid="{4BBFA53C-DF23-49DB-86AF-FE6FCC4CF433}"/>
    <hyperlink ref="J6" r:id="rId3" xr:uid="{DCB16D6E-5D19-4F5F-9170-46BBDFB9F97A}"/>
    <hyperlink ref="J7" r:id="rId4" xr:uid="{3F356F59-BBA8-4751-83A8-CFAEC22408B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O64"/>
  <sheetViews>
    <sheetView topLeftCell="C1" workbookViewId="0">
      <selection activeCell="G24" sqref="G24"/>
    </sheetView>
  </sheetViews>
  <sheetFormatPr baseColWidth="10" defaultColWidth="9.140625" defaultRowHeight="15" x14ac:dyDescent="0.25"/>
  <cols>
    <col min="1" max="1" width="13.5703125" style="4" bestFit="1" customWidth="1"/>
    <col min="2" max="3" width="13.5703125" style="3" bestFit="1" customWidth="1"/>
    <col min="4" max="4" width="14.28515625" style="10" bestFit="1" customWidth="1"/>
    <col min="5" max="5" width="13.5703125" style="11" bestFit="1" customWidth="1"/>
    <col min="6" max="6" width="13.5703125" style="3" bestFit="1" customWidth="1"/>
    <col min="7" max="7" width="13.5703125" style="3" customWidth="1"/>
    <col min="8" max="14" width="13.5703125" style="3" bestFit="1" customWidth="1"/>
  </cols>
  <sheetData>
    <row r="1" spans="1:15" ht="19.5" customHeight="1" x14ac:dyDescent="0.25">
      <c r="B1" s="1" t="s">
        <v>0</v>
      </c>
      <c r="C1" s="1" t="s">
        <v>1</v>
      </c>
      <c r="D1" s="5" t="s">
        <v>2</v>
      </c>
      <c r="E1" s="6" t="s">
        <v>3</v>
      </c>
      <c r="F1" s="2" t="s">
        <v>46</v>
      </c>
      <c r="G1" s="13" t="s">
        <v>2926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2" t="s">
        <v>52</v>
      </c>
      <c r="N1" s="2" t="s">
        <v>53</v>
      </c>
      <c r="O1" s="13" t="s">
        <v>2978</v>
      </c>
    </row>
    <row r="2" spans="1:15" ht="19.5" customHeight="1" x14ac:dyDescent="0.25">
      <c r="A2" s="7">
        <v>1</v>
      </c>
      <c r="B2" s="2" t="s">
        <v>54</v>
      </c>
      <c r="C2" s="2" t="s">
        <v>55</v>
      </c>
      <c r="D2" s="8" t="s">
        <v>56</v>
      </c>
      <c r="E2" s="8" t="s">
        <v>57</v>
      </c>
      <c r="F2" s="2" t="s">
        <v>58</v>
      </c>
      <c r="G2" s="2"/>
      <c r="H2" s="2" t="s">
        <v>59</v>
      </c>
      <c r="I2" s="2" t="s">
        <v>78</v>
      </c>
      <c r="J2" s="2" t="s">
        <v>61</v>
      </c>
      <c r="K2" s="2" t="s">
        <v>62</v>
      </c>
      <c r="L2" s="2" t="s">
        <v>63</v>
      </c>
      <c r="M2" s="2"/>
      <c r="N2" s="2"/>
      <c r="O2" s="13"/>
    </row>
    <row r="3" spans="1:15" ht="19.5" customHeight="1" x14ac:dyDescent="0.25">
      <c r="A3" s="7">
        <v>2</v>
      </c>
      <c r="B3" s="2" t="s">
        <v>64</v>
      </c>
      <c r="C3" s="2" t="s">
        <v>65</v>
      </c>
      <c r="D3" s="8" t="s">
        <v>66</v>
      </c>
      <c r="E3" s="8" t="s">
        <v>67</v>
      </c>
      <c r="F3" s="2" t="s">
        <v>68</v>
      </c>
      <c r="G3" s="2"/>
      <c r="H3" s="2" t="s">
        <v>69</v>
      </c>
      <c r="I3" s="2" t="s">
        <v>60</v>
      </c>
      <c r="J3" s="2" t="s">
        <v>70</v>
      </c>
      <c r="K3" s="2" t="s">
        <v>71</v>
      </c>
      <c r="L3" s="2" t="s">
        <v>72</v>
      </c>
      <c r="M3" s="2"/>
      <c r="N3" s="2"/>
    </row>
    <row r="4" spans="1:15" ht="19.5" customHeight="1" x14ac:dyDescent="0.25">
      <c r="A4" s="7">
        <v>3</v>
      </c>
      <c r="B4" s="2" t="s">
        <v>73</v>
      </c>
      <c r="C4" s="2" t="s">
        <v>74</v>
      </c>
      <c r="D4" s="9" t="s">
        <v>75</v>
      </c>
      <c r="E4" s="8" t="s">
        <v>76</v>
      </c>
      <c r="F4" s="2" t="s">
        <v>68</v>
      </c>
      <c r="G4" s="2"/>
      <c r="H4" s="2" t="s">
        <v>77</v>
      </c>
      <c r="I4" s="2" t="s">
        <v>78</v>
      </c>
      <c r="J4" s="2" t="s">
        <v>79</v>
      </c>
      <c r="K4" s="2" t="s">
        <v>80</v>
      </c>
      <c r="L4" s="2" t="s">
        <v>81</v>
      </c>
      <c r="M4" s="2" t="s">
        <v>82</v>
      </c>
      <c r="N4" s="2"/>
    </row>
    <row r="5" spans="1:15" ht="19.5" customHeight="1" x14ac:dyDescent="0.25">
      <c r="A5" s="7">
        <v>4</v>
      </c>
      <c r="B5" s="2" t="s">
        <v>83</v>
      </c>
      <c r="C5" s="2" t="s">
        <v>84</v>
      </c>
      <c r="D5" s="9" t="s">
        <v>85</v>
      </c>
      <c r="E5" s="8" t="s">
        <v>86</v>
      </c>
      <c r="F5" s="2" t="s">
        <v>68</v>
      </c>
      <c r="G5" s="2"/>
      <c r="H5" s="2" t="s">
        <v>87</v>
      </c>
      <c r="I5" s="2" t="s">
        <v>88</v>
      </c>
      <c r="J5" s="2" t="s">
        <v>89</v>
      </c>
      <c r="K5" s="2" t="s">
        <v>90</v>
      </c>
      <c r="L5" s="2" t="s">
        <v>91</v>
      </c>
      <c r="M5" s="2"/>
      <c r="N5" s="2"/>
    </row>
    <row r="6" spans="1:15" ht="19.5" customHeight="1" x14ac:dyDescent="0.25">
      <c r="A6" s="7">
        <v>5</v>
      </c>
      <c r="B6" s="2" t="s">
        <v>92</v>
      </c>
      <c r="C6" s="2" t="s">
        <v>93</v>
      </c>
      <c r="D6" s="8" t="s">
        <v>94</v>
      </c>
      <c r="E6" s="8" t="s">
        <v>95</v>
      </c>
      <c r="F6" s="2" t="s">
        <v>68</v>
      </c>
      <c r="G6" s="2"/>
      <c r="H6" s="2" t="s">
        <v>96</v>
      </c>
      <c r="I6" s="2" t="s">
        <v>88</v>
      </c>
      <c r="J6" s="2" t="s">
        <v>97</v>
      </c>
      <c r="K6" s="2" t="s">
        <v>98</v>
      </c>
      <c r="L6" s="2" t="s">
        <v>99</v>
      </c>
      <c r="M6" s="2"/>
      <c r="N6" s="2"/>
    </row>
    <row r="7" spans="1:15" ht="19.5" customHeight="1" x14ac:dyDescent="0.25">
      <c r="A7" s="7">
        <v>6</v>
      </c>
      <c r="B7" s="2" t="s">
        <v>100</v>
      </c>
      <c r="C7" s="2" t="s">
        <v>101</v>
      </c>
      <c r="D7" s="8" t="s">
        <v>102</v>
      </c>
      <c r="E7" s="8" t="s">
        <v>103</v>
      </c>
      <c r="F7" s="2" t="s">
        <v>68</v>
      </c>
      <c r="G7" s="2"/>
      <c r="H7" s="2" t="s">
        <v>104</v>
      </c>
      <c r="I7" s="2" t="s">
        <v>105</v>
      </c>
      <c r="J7" s="2"/>
      <c r="K7" s="2"/>
      <c r="L7" s="2"/>
      <c r="M7" s="2"/>
      <c r="N7" s="2" t="s">
        <v>106</v>
      </c>
    </row>
    <row r="8" spans="1:15" ht="19.5" customHeight="1" x14ac:dyDescent="0.25">
      <c r="A8" s="7">
        <v>7</v>
      </c>
      <c r="B8" s="2" t="s">
        <v>100</v>
      </c>
      <c r="C8" s="2" t="s">
        <v>101</v>
      </c>
      <c r="D8" s="8" t="s">
        <v>102</v>
      </c>
      <c r="E8" s="8" t="s">
        <v>103</v>
      </c>
      <c r="F8" s="2" t="s">
        <v>68</v>
      </c>
      <c r="G8" s="2"/>
      <c r="H8" s="2" t="s">
        <v>107</v>
      </c>
      <c r="I8" s="2" t="s">
        <v>105</v>
      </c>
      <c r="J8" s="2"/>
      <c r="K8" s="2"/>
      <c r="L8" s="2"/>
      <c r="M8" s="2"/>
      <c r="N8" s="2" t="s">
        <v>108</v>
      </c>
    </row>
    <row r="9" spans="1:15" ht="19.5" customHeight="1" x14ac:dyDescent="0.25">
      <c r="A9" s="7">
        <v>8</v>
      </c>
      <c r="B9" s="2" t="s">
        <v>109</v>
      </c>
      <c r="C9" s="2" t="s">
        <v>110</v>
      </c>
      <c r="D9" s="8" t="s">
        <v>111</v>
      </c>
      <c r="E9" s="8" t="s">
        <v>112</v>
      </c>
      <c r="F9" s="2" t="s">
        <v>12</v>
      </c>
      <c r="G9" s="2"/>
      <c r="H9" s="2" t="s">
        <v>113</v>
      </c>
      <c r="I9" s="2" t="s">
        <v>88</v>
      </c>
      <c r="J9" s="2" t="s">
        <v>114</v>
      </c>
      <c r="K9" s="2" t="s">
        <v>115</v>
      </c>
      <c r="L9" s="2" t="s">
        <v>116</v>
      </c>
      <c r="M9" s="2"/>
      <c r="N9" s="2"/>
    </row>
    <row r="10" spans="1:15" ht="19.5" customHeight="1" x14ac:dyDescent="0.25">
      <c r="A10" s="7">
        <v>9</v>
      </c>
      <c r="B10" s="2" t="s">
        <v>117</v>
      </c>
      <c r="C10" s="2" t="s">
        <v>118</v>
      </c>
      <c r="D10" s="9" t="s">
        <v>119</v>
      </c>
      <c r="E10" s="8" t="s">
        <v>120</v>
      </c>
      <c r="F10" s="2" t="s">
        <v>12</v>
      </c>
      <c r="G10" s="2"/>
      <c r="H10" s="2" t="s">
        <v>121</v>
      </c>
      <c r="I10" s="2" t="s">
        <v>105</v>
      </c>
      <c r="J10" s="2"/>
      <c r="K10" s="2"/>
      <c r="L10" s="2"/>
      <c r="M10" s="2"/>
      <c r="N10" s="2"/>
    </row>
    <row r="11" spans="1:15" ht="19.5" customHeight="1" x14ac:dyDescent="0.25">
      <c r="A11" s="7">
        <v>10</v>
      </c>
      <c r="B11" s="2" t="s">
        <v>122</v>
      </c>
      <c r="C11" s="2" t="s">
        <v>123</v>
      </c>
      <c r="D11" s="8" t="s">
        <v>124</v>
      </c>
      <c r="E11" s="8" t="s">
        <v>125</v>
      </c>
      <c r="F11" s="2" t="s">
        <v>12</v>
      </c>
      <c r="G11" s="2"/>
      <c r="H11" s="2" t="s">
        <v>126</v>
      </c>
      <c r="I11" s="2" t="s">
        <v>105</v>
      </c>
      <c r="J11" s="2"/>
      <c r="K11" s="2"/>
      <c r="L11" s="2"/>
      <c r="M11" s="2"/>
      <c r="N11" s="2" t="s">
        <v>127</v>
      </c>
    </row>
    <row r="12" spans="1:15" ht="19.5" customHeight="1" x14ac:dyDescent="0.25">
      <c r="A12" s="7">
        <v>11</v>
      </c>
      <c r="B12" s="2" t="s">
        <v>128</v>
      </c>
      <c r="C12" s="2" t="s">
        <v>129</v>
      </c>
      <c r="D12" s="9" t="s">
        <v>130</v>
      </c>
      <c r="E12" s="8" t="s">
        <v>131</v>
      </c>
      <c r="F12" s="2" t="s">
        <v>132</v>
      </c>
      <c r="G12" s="2"/>
      <c r="H12" s="2" t="s">
        <v>133</v>
      </c>
      <c r="I12" s="2" t="s">
        <v>88</v>
      </c>
      <c r="J12" s="2" t="s">
        <v>134</v>
      </c>
      <c r="K12" s="2" t="s">
        <v>135</v>
      </c>
      <c r="L12" s="2" t="s">
        <v>136</v>
      </c>
      <c r="M12" s="2"/>
      <c r="N12" s="2"/>
    </row>
    <row r="13" spans="1:15" ht="19.5" customHeight="1" x14ac:dyDescent="0.25">
      <c r="A13" s="7">
        <v>12</v>
      </c>
      <c r="B13" s="2" t="s">
        <v>137</v>
      </c>
      <c r="C13" s="2" t="s">
        <v>138</v>
      </c>
      <c r="D13" s="8" t="s">
        <v>139</v>
      </c>
      <c r="E13" s="8" t="s">
        <v>140</v>
      </c>
      <c r="F13" s="2" t="s">
        <v>22</v>
      </c>
      <c r="G13" s="2"/>
      <c r="H13" s="2" t="s">
        <v>141</v>
      </c>
      <c r="I13" s="2" t="s">
        <v>105</v>
      </c>
      <c r="J13" s="2"/>
      <c r="K13" s="2"/>
      <c r="L13" s="2"/>
      <c r="M13" s="2"/>
      <c r="N13" s="2" t="s">
        <v>142</v>
      </c>
    </row>
    <row r="14" spans="1:15" ht="19.5" customHeight="1" x14ac:dyDescent="0.25">
      <c r="A14" s="7">
        <v>13</v>
      </c>
      <c r="B14" s="2" t="s">
        <v>143</v>
      </c>
      <c r="C14" s="2" t="s">
        <v>144</v>
      </c>
      <c r="D14" s="8" t="s">
        <v>145</v>
      </c>
      <c r="E14" s="8" t="s">
        <v>146</v>
      </c>
      <c r="F14" s="2" t="s">
        <v>147</v>
      </c>
      <c r="G14" s="2"/>
      <c r="H14" s="2" t="s">
        <v>148</v>
      </c>
      <c r="I14" s="2" t="s">
        <v>105</v>
      </c>
      <c r="J14" s="2"/>
      <c r="K14" s="2"/>
      <c r="L14" s="2"/>
      <c r="M14" s="2"/>
      <c r="N14" s="2" t="s">
        <v>24</v>
      </c>
    </row>
    <row r="15" spans="1:15" ht="19.5" customHeight="1" x14ac:dyDescent="0.25">
      <c r="A15" s="7">
        <v>14</v>
      </c>
      <c r="B15" s="2" t="s">
        <v>149</v>
      </c>
      <c r="C15" s="2" t="s">
        <v>150</v>
      </c>
      <c r="D15" s="8" t="s">
        <v>151</v>
      </c>
      <c r="E15" s="8" t="s">
        <v>152</v>
      </c>
      <c r="F15" s="2" t="s">
        <v>38</v>
      </c>
      <c r="G15" s="2"/>
      <c r="H15" s="2" t="s">
        <v>153</v>
      </c>
      <c r="I15" s="2" t="s">
        <v>88</v>
      </c>
      <c r="J15" s="2" t="s">
        <v>154</v>
      </c>
      <c r="K15" s="2" t="s">
        <v>155</v>
      </c>
      <c r="L15" s="2" t="s">
        <v>156</v>
      </c>
      <c r="M15" s="2"/>
      <c r="N15" s="2"/>
    </row>
    <row r="16" spans="1:15" ht="19.5" customHeight="1" x14ac:dyDescent="0.25">
      <c r="A16" s="7">
        <v>15</v>
      </c>
      <c r="B16" s="2" t="s">
        <v>157</v>
      </c>
      <c r="C16" s="2" t="s">
        <v>158</v>
      </c>
      <c r="D16" s="8" t="s">
        <v>159</v>
      </c>
      <c r="E16" s="8" t="s">
        <v>160</v>
      </c>
      <c r="F16" s="2" t="s">
        <v>38</v>
      </c>
      <c r="G16" s="2"/>
      <c r="H16" s="2" t="s">
        <v>161</v>
      </c>
      <c r="I16" s="2" t="s">
        <v>105</v>
      </c>
      <c r="J16" s="2"/>
      <c r="K16" s="2"/>
      <c r="L16" s="2"/>
      <c r="M16" s="2"/>
      <c r="N16" s="2" t="s">
        <v>162</v>
      </c>
    </row>
    <row r="17" spans="1:14" ht="19.5" customHeight="1" x14ac:dyDescent="0.25">
      <c r="A17" s="7">
        <v>16</v>
      </c>
      <c r="B17" s="2" t="s">
        <v>157</v>
      </c>
      <c r="C17" s="2" t="s">
        <v>158</v>
      </c>
      <c r="D17" s="8" t="s">
        <v>159</v>
      </c>
      <c r="E17" s="8" t="s">
        <v>160</v>
      </c>
      <c r="F17" s="2" t="s">
        <v>38</v>
      </c>
      <c r="G17" s="2"/>
      <c r="H17" s="2" t="s">
        <v>163</v>
      </c>
      <c r="I17" s="2" t="s">
        <v>105</v>
      </c>
      <c r="J17" s="2"/>
      <c r="K17" s="2"/>
      <c r="L17" s="2"/>
      <c r="M17" s="2"/>
      <c r="N17" s="2" t="s">
        <v>164</v>
      </c>
    </row>
    <row r="18" spans="1:14" ht="19.5" customHeight="1" x14ac:dyDescent="0.25">
      <c r="A18" s="7">
        <v>17</v>
      </c>
      <c r="B18" s="2" t="s">
        <v>165</v>
      </c>
      <c r="C18" s="2" t="s">
        <v>166</v>
      </c>
      <c r="D18" s="8" t="s">
        <v>167</v>
      </c>
      <c r="E18" s="8" t="s">
        <v>168</v>
      </c>
      <c r="F18" s="2" t="s">
        <v>169</v>
      </c>
      <c r="G18" s="2"/>
      <c r="H18" s="2" t="s">
        <v>2979</v>
      </c>
      <c r="I18" s="2" t="s">
        <v>170</v>
      </c>
      <c r="J18" s="2" t="s">
        <v>171</v>
      </c>
      <c r="K18" s="2" t="s">
        <v>172</v>
      </c>
      <c r="L18" s="2" t="s">
        <v>173</v>
      </c>
      <c r="M18" s="2"/>
      <c r="N18" s="2"/>
    </row>
    <row r="19" spans="1:14" ht="19.5" customHeight="1" x14ac:dyDescent="0.25">
      <c r="A19" s="7">
        <v>18</v>
      </c>
      <c r="B19" s="2" t="s">
        <v>174</v>
      </c>
      <c r="C19" s="2" t="s">
        <v>175</v>
      </c>
      <c r="D19" s="8" t="s">
        <v>176</v>
      </c>
      <c r="E19" s="8" t="s">
        <v>177</v>
      </c>
      <c r="F19" s="2" t="s">
        <v>32</v>
      </c>
      <c r="G19" s="2"/>
      <c r="H19" s="2" t="s">
        <v>178</v>
      </c>
      <c r="I19" s="2" t="s">
        <v>78</v>
      </c>
      <c r="J19" s="2" t="s">
        <v>179</v>
      </c>
      <c r="K19" s="2" t="s">
        <v>180</v>
      </c>
      <c r="L19" s="2" t="s">
        <v>181</v>
      </c>
      <c r="M19" s="2" t="s">
        <v>182</v>
      </c>
      <c r="N19" s="2"/>
    </row>
    <row r="20" spans="1:14" ht="19.5" customHeight="1" x14ac:dyDescent="0.25">
      <c r="A20" s="7">
        <v>19</v>
      </c>
      <c r="B20" s="2" t="s">
        <v>183</v>
      </c>
      <c r="C20" s="2" t="s">
        <v>184</v>
      </c>
      <c r="D20" s="8" t="s">
        <v>185</v>
      </c>
      <c r="E20" s="8" t="s">
        <v>186</v>
      </c>
      <c r="F20" s="2" t="s">
        <v>32</v>
      </c>
      <c r="G20" s="2"/>
      <c r="H20" s="2" t="s">
        <v>187</v>
      </c>
      <c r="I20" s="2" t="s">
        <v>105</v>
      </c>
      <c r="J20" s="2"/>
      <c r="K20" s="2"/>
      <c r="L20" s="2"/>
      <c r="M20" s="2"/>
      <c r="N20" s="2" t="s">
        <v>15</v>
      </c>
    </row>
    <row r="21" spans="1:14" ht="19.5" customHeight="1" x14ac:dyDescent="0.25">
      <c r="A21" s="7">
        <v>20</v>
      </c>
      <c r="B21" s="2" t="s">
        <v>183</v>
      </c>
      <c r="C21" s="2" t="s">
        <v>184</v>
      </c>
      <c r="D21" s="8" t="s">
        <v>185</v>
      </c>
      <c r="E21" s="8" t="s">
        <v>186</v>
      </c>
      <c r="F21" s="2" t="s">
        <v>32</v>
      </c>
      <c r="G21" s="2"/>
      <c r="H21" s="2" t="s">
        <v>188</v>
      </c>
      <c r="I21" s="2" t="s">
        <v>105</v>
      </c>
      <c r="J21" s="2"/>
      <c r="K21" s="2"/>
      <c r="L21" s="2"/>
      <c r="M21" s="2"/>
      <c r="N21" s="2" t="s">
        <v>189</v>
      </c>
    </row>
    <row r="22" spans="1:14" ht="19.5" customHeight="1" x14ac:dyDescent="0.25">
      <c r="A22" s="7">
        <v>21</v>
      </c>
      <c r="B22" s="2" t="s">
        <v>190</v>
      </c>
      <c r="C22" s="2" t="s">
        <v>191</v>
      </c>
      <c r="D22" s="8" t="s">
        <v>192</v>
      </c>
      <c r="E22" s="8" t="s">
        <v>193</v>
      </c>
      <c r="F22" s="2" t="s">
        <v>41</v>
      </c>
      <c r="G22" s="2"/>
      <c r="H22" s="2" t="s">
        <v>194</v>
      </c>
      <c r="I22" s="2" t="s">
        <v>88</v>
      </c>
      <c r="J22" s="2" t="s">
        <v>195</v>
      </c>
      <c r="K22" s="2" t="s">
        <v>196</v>
      </c>
      <c r="L22" s="2"/>
      <c r="M22" s="2"/>
      <c r="N22" s="2"/>
    </row>
    <row r="23" spans="1:14" ht="19.5" customHeight="1" x14ac:dyDescent="0.25">
      <c r="A23" s="7">
        <v>22</v>
      </c>
      <c r="B23" s="2" t="s">
        <v>197</v>
      </c>
      <c r="C23" s="2" t="s">
        <v>198</v>
      </c>
      <c r="D23" s="9" t="s">
        <v>199</v>
      </c>
      <c r="E23" s="8" t="s">
        <v>200</v>
      </c>
      <c r="F23" s="2" t="s">
        <v>41</v>
      </c>
      <c r="G23" s="2"/>
      <c r="H23" s="2" t="s">
        <v>201</v>
      </c>
      <c r="I23" s="2" t="s">
        <v>88</v>
      </c>
      <c r="J23" s="2" t="s">
        <v>195</v>
      </c>
      <c r="K23" s="2" t="s">
        <v>196</v>
      </c>
      <c r="L23" s="2"/>
      <c r="M23" s="2"/>
      <c r="N23" s="2"/>
    </row>
    <row r="24" spans="1:14" ht="19.5" customHeight="1" x14ac:dyDescent="0.25">
      <c r="A24" s="7">
        <v>23</v>
      </c>
      <c r="B24" s="2" t="s">
        <v>202</v>
      </c>
      <c r="C24" s="2" t="s">
        <v>203</v>
      </c>
      <c r="D24" s="9" t="s">
        <v>204</v>
      </c>
      <c r="E24" s="8" t="s">
        <v>205</v>
      </c>
      <c r="F24" s="2" t="s">
        <v>41</v>
      </c>
      <c r="G24" s="2"/>
      <c r="H24" s="2" t="s">
        <v>206</v>
      </c>
      <c r="I24" s="2" t="s">
        <v>88</v>
      </c>
      <c r="J24" s="2" t="s">
        <v>195</v>
      </c>
      <c r="K24" s="2" t="s">
        <v>196</v>
      </c>
      <c r="L24" s="2" t="s">
        <v>207</v>
      </c>
      <c r="M24" s="2"/>
      <c r="N24" s="2"/>
    </row>
    <row r="25" spans="1:14" ht="19.5" customHeight="1" x14ac:dyDescent="0.25">
      <c r="A25" s="7">
        <v>24</v>
      </c>
      <c r="B25" s="2" t="s">
        <v>208</v>
      </c>
      <c r="C25" s="2" t="s">
        <v>209</v>
      </c>
      <c r="D25" s="8" t="s">
        <v>210</v>
      </c>
      <c r="E25" s="8" t="s">
        <v>211</v>
      </c>
      <c r="F25" s="2" t="s">
        <v>41</v>
      </c>
      <c r="G25" s="2"/>
      <c r="H25" s="2" t="s">
        <v>212</v>
      </c>
      <c r="I25" s="2" t="s">
        <v>105</v>
      </c>
      <c r="J25" s="2"/>
      <c r="K25" s="2"/>
      <c r="L25" s="2"/>
      <c r="M25" s="2"/>
      <c r="N25" s="2" t="s">
        <v>213</v>
      </c>
    </row>
    <row r="26" spans="1:14" ht="18.75" customHeight="1" x14ac:dyDescent="0.25">
      <c r="A26" s="7">
        <v>25</v>
      </c>
      <c r="B26" s="2" t="s">
        <v>208</v>
      </c>
      <c r="C26" s="2" t="s">
        <v>209</v>
      </c>
      <c r="D26" s="8" t="s">
        <v>210</v>
      </c>
      <c r="E26" s="8" t="s">
        <v>211</v>
      </c>
      <c r="F26" s="2" t="s">
        <v>41</v>
      </c>
      <c r="G26" s="2"/>
      <c r="H26" s="2" t="s">
        <v>214</v>
      </c>
      <c r="I26" s="2" t="s">
        <v>105</v>
      </c>
      <c r="J26" s="2"/>
      <c r="K26" s="2"/>
      <c r="L26" s="2"/>
      <c r="M26" s="2"/>
      <c r="N26" s="2" t="s">
        <v>215</v>
      </c>
    </row>
    <row r="27" spans="1:14" ht="18.75" customHeight="1" x14ac:dyDescent="0.25">
      <c r="A27" s="7">
        <v>26</v>
      </c>
      <c r="B27" s="2" t="s">
        <v>216</v>
      </c>
      <c r="C27" s="2" t="s">
        <v>217</v>
      </c>
      <c r="D27" s="8" t="s">
        <v>218</v>
      </c>
      <c r="E27" s="8" t="s">
        <v>219</v>
      </c>
      <c r="F27" s="2" t="s">
        <v>220</v>
      </c>
      <c r="G27" s="2"/>
      <c r="H27" s="2" t="s">
        <v>221</v>
      </c>
      <c r="I27" s="2" t="s">
        <v>60</v>
      </c>
      <c r="J27" s="2" t="s">
        <v>222</v>
      </c>
      <c r="K27" s="2" t="s">
        <v>223</v>
      </c>
      <c r="L27" s="2"/>
      <c r="M27" s="2"/>
      <c r="N27" s="2"/>
    </row>
    <row r="28" spans="1:14" ht="18.75" customHeight="1" x14ac:dyDescent="0.25">
      <c r="A28" s="7">
        <v>27</v>
      </c>
      <c r="B28" s="2" t="s">
        <v>224</v>
      </c>
      <c r="C28" s="2" t="s">
        <v>225</v>
      </c>
      <c r="D28" s="8" t="s">
        <v>226</v>
      </c>
      <c r="E28" s="8" t="s">
        <v>227</v>
      </c>
      <c r="F28" s="2" t="s">
        <v>220</v>
      </c>
      <c r="G28" s="2"/>
      <c r="H28" s="2" t="s">
        <v>228</v>
      </c>
      <c r="I28" s="2" t="s">
        <v>229</v>
      </c>
      <c r="J28" s="2" t="s">
        <v>230</v>
      </c>
      <c r="K28" s="2" t="s">
        <v>231</v>
      </c>
      <c r="L28" s="2" t="s">
        <v>232</v>
      </c>
      <c r="M28" s="2" t="s">
        <v>233</v>
      </c>
      <c r="N28" s="2"/>
    </row>
    <row r="29" spans="1:14" ht="18.75" customHeight="1" x14ac:dyDescent="0.25">
      <c r="A29" s="7">
        <v>28</v>
      </c>
      <c r="B29" s="2" t="s">
        <v>234</v>
      </c>
      <c r="C29" s="2" t="s">
        <v>235</v>
      </c>
      <c r="D29" s="8" t="s">
        <v>236</v>
      </c>
      <c r="E29" s="8" t="s">
        <v>237</v>
      </c>
      <c r="F29" s="2" t="s">
        <v>238</v>
      </c>
      <c r="G29" s="2"/>
      <c r="H29" s="2" t="s">
        <v>239</v>
      </c>
      <c r="I29" s="2" t="s">
        <v>229</v>
      </c>
      <c r="J29" s="2" t="s">
        <v>240</v>
      </c>
      <c r="K29" s="2" t="s">
        <v>241</v>
      </c>
      <c r="L29" s="2" t="s">
        <v>242</v>
      </c>
      <c r="M29" s="2" t="s">
        <v>243</v>
      </c>
      <c r="N29" s="2"/>
    </row>
    <row r="30" spans="1:14" ht="18.75" customHeight="1" x14ac:dyDescent="0.25">
      <c r="A30" s="7">
        <v>29</v>
      </c>
      <c r="B30" s="2" t="s">
        <v>244</v>
      </c>
      <c r="C30" s="2" t="s">
        <v>245</v>
      </c>
      <c r="D30" s="8" t="s">
        <v>246</v>
      </c>
      <c r="E30" s="8" t="s">
        <v>247</v>
      </c>
      <c r="F30" s="2" t="s">
        <v>238</v>
      </c>
      <c r="G30" s="2"/>
      <c r="H30" s="2" t="s">
        <v>248</v>
      </c>
      <c r="I30" s="2" t="s">
        <v>105</v>
      </c>
      <c r="J30" s="2"/>
      <c r="K30" s="2"/>
      <c r="L30" s="2"/>
      <c r="M30" s="2"/>
      <c r="N30" s="2" t="s">
        <v>127</v>
      </c>
    </row>
    <row r="31" spans="1:14" ht="18.75" customHeight="1" x14ac:dyDescent="0.25">
      <c r="A31" s="7">
        <v>30</v>
      </c>
      <c r="B31" s="2" t="s">
        <v>249</v>
      </c>
      <c r="C31" s="2" t="s">
        <v>250</v>
      </c>
      <c r="D31" s="8" t="s">
        <v>251</v>
      </c>
      <c r="E31" s="8" t="s">
        <v>252</v>
      </c>
      <c r="F31" s="2" t="s">
        <v>253</v>
      </c>
      <c r="G31" s="2"/>
      <c r="H31" s="2" t="s">
        <v>254</v>
      </c>
      <c r="I31" s="2" t="s">
        <v>78</v>
      </c>
      <c r="J31" s="2" t="s">
        <v>255</v>
      </c>
      <c r="K31" s="2"/>
      <c r="L31" s="2"/>
      <c r="M31" s="2"/>
      <c r="N31" s="2"/>
    </row>
    <row r="32" spans="1:14" ht="18.75" customHeight="1" x14ac:dyDescent="0.25">
      <c r="A32" s="7">
        <v>31</v>
      </c>
      <c r="B32" s="2" t="s">
        <v>256</v>
      </c>
      <c r="C32" s="2" t="s">
        <v>257</v>
      </c>
      <c r="D32" s="8" t="s">
        <v>258</v>
      </c>
      <c r="E32" s="8" t="s">
        <v>259</v>
      </c>
      <c r="F32" s="2" t="s">
        <v>16</v>
      </c>
      <c r="G32" s="2"/>
      <c r="H32" s="2" t="s">
        <v>260</v>
      </c>
      <c r="I32" s="2" t="s">
        <v>60</v>
      </c>
      <c r="J32" s="2" t="s">
        <v>261</v>
      </c>
      <c r="K32" s="2" t="s">
        <v>262</v>
      </c>
      <c r="L32" s="2" t="s">
        <v>263</v>
      </c>
      <c r="M32" s="2" t="s">
        <v>3105</v>
      </c>
      <c r="N32" s="2"/>
    </row>
    <row r="33" spans="1:14" ht="18.75" customHeight="1" x14ac:dyDescent="0.25">
      <c r="A33" s="7">
        <v>32</v>
      </c>
      <c r="B33" s="2" t="s">
        <v>264</v>
      </c>
      <c r="C33" s="2" t="s">
        <v>265</v>
      </c>
      <c r="D33" s="8" t="s">
        <v>266</v>
      </c>
      <c r="E33" s="8" t="s">
        <v>267</v>
      </c>
      <c r="F33" s="2" t="s">
        <v>16</v>
      </c>
      <c r="G33" s="2"/>
      <c r="H33" s="2" t="s">
        <v>268</v>
      </c>
      <c r="I33" s="2" t="s">
        <v>88</v>
      </c>
      <c r="J33" s="2" t="s">
        <v>269</v>
      </c>
      <c r="K33" s="2" t="s">
        <v>270</v>
      </c>
      <c r="L33" s="2" t="s">
        <v>271</v>
      </c>
      <c r="M33" s="2"/>
      <c r="N33" s="2"/>
    </row>
    <row r="34" spans="1:14" ht="18.75" customHeight="1" x14ac:dyDescent="0.25">
      <c r="A34" s="7">
        <v>33</v>
      </c>
      <c r="B34" s="2" t="s">
        <v>272</v>
      </c>
      <c r="C34" s="2" t="s">
        <v>273</v>
      </c>
      <c r="D34" s="8" t="s">
        <v>274</v>
      </c>
      <c r="E34" s="8" t="s">
        <v>275</v>
      </c>
      <c r="F34" s="2" t="s">
        <v>16</v>
      </c>
      <c r="G34" s="2"/>
      <c r="H34" s="2" t="s">
        <v>276</v>
      </c>
      <c r="I34" s="2" t="s">
        <v>105</v>
      </c>
      <c r="J34" s="2"/>
      <c r="K34" s="2"/>
      <c r="L34" s="2"/>
      <c r="M34" s="2"/>
      <c r="N34" s="2" t="s">
        <v>277</v>
      </c>
    </row>
    <row r="35" spans="1:14" ht="18.75" customHeight="1" x14ac:dyDescent="0.25">
      <c r="A35" s="7">
        <v>34</v>
      </c>
      <c r="B35" s="2" t="s">
        <v>272</v>
      </c>
      <c r="C35" s="2" t="s">
        <v>273</v>
      </c>
      <c r="D35" s="8" t="s">
        <v>274</v>
      </c>
      <c r="E35" s="8" t="s">
        <v>275</v>
      </c>
      <c r="F35" s="2" t="s">
        <v>16</v>
      </c>
      <c r="G35" s="2"/>
      <c r="H35" s="2" t="s">
        <v>278</v>
      </c>
      <c r="I35" s="2" t="s">
        <v>105</v>
      </c>
      <c r="J35" s="2"/>
      <c r="K35" s="2"/>
      <c r="L35" s="2"/>
      <c r="M35" s="2"/>
      <c r="N35" s="2" t="s">
        <v>279</v>
      </c>
    </row>
    <row r="36" spans="1:14" ht="18.75" customHeight="1" x14ac:dyDescent="0.25">
      <c r="A36" s="7">
        <v>35</v>
      </c>
      <c r="B36" s="2" t="s">
        <v>272</v>
      </c>
      <c r="C36" s="2" t="s">
        <v>273</v>
      </c>
      <c r="D36" s="8" t="s">
        <v>274</v>
      </c>
      <c r="E36" s="8" t="s">
        <v>275</v>
      </c>
      <c r="F36" s="2" t="s">
        <v>16</v>
      </c>
      <c r="G36" s="2"/>
      <c r="H36" s="2" t="s">
        <v>280</v>
      </c>
      <c r="I36" s="2" t="s">
        <v>105</v>
      </c>
      <c r="J36" s="2"/>
      <c r="K36" s="2"/>
      <c r="L36" s="2"/>
      <c r="M36" s="2"/>
      <c r="N36" s="2" t="s">
        <v>281</v>
      </c>
    </row>
    <row r="37" spans="1:14" ht="18.75" customHeight="1" x14ac:dyDescent="0.25">
      <c r="A37" s="7">
        <v>36</v>
      </c>
      <c r="B37" s="2" t="s">
        <v>282</v>
      </c>
      <c r="C37" s="2" t="s">
        <v>283</v>
      </c>
      <c r="D37" s="8" t="s">
        <v>284</v>
      </c>
      <c r="E37" s="8" t="s">
        <v>285</v>
      </c>
      <c r="F37" s="2" t="s">
        <v>9</v>
      </c>
      <c r="G37" s="2"/>
      <c r="H37" s="2" t="s">
        <v>286</v>
      </c>
      <c r="I37" s="2" t="s">
        <v>88</v>
      </c>
      <c r="J37" s="2" t="s">
        <v>287</v>
      </c>
      <c r="K37" s="2" t="s">
        <v>288</v>
      </c>
      <c r="L37" s="2" t="s">
        <v>289</v>
      </c>
      <c r="M37" s="2"/>
      <c r="N37" s="2"/>
    </row>
    <row r="38" spans="1:14" ht="18.75" customHeight="1" x14ac:dyDescent="0.25">
      <c r="A38" s="7">
        <v>37</v>
      </c>
      <c r="B38" s="2" t="s">
        <v>290</v>
      </c>
      <c r="C38" s="2" t="s">
        <v>291</v>
      </c>
      <c r="D38" s="9" t="s">
        <v>292</v>
      </c>
      <c r="E38" s="8" t="s">
        <v>293</v>
      </c>
      <c r="F38" s="2" t="s">
        <v>9</v>
      </c>
      <c r="G38" s="2"/>
      <c r="H38" s="2" t="s">
        <v>294</v>
      </c>
      <c r="I38" s="2" t="s">
        <v>105</v>
      </c>
      <c r="J38" s="2"/>
      <c r="K38" s="2"/>
      <c r="L38" s="2"/>
      <c r="M38" s="2"/>
      <c r="N38" s="2" t="s">
        <v>295</v>
      </c>
    </row>
    <row r="39" spans="1:14" ht="18.75" customHeight="1" x14ac:dyDescent="0.25">
      <c r="A39" s="7">
        <v>38</v>
      </c>
      <c r="B39" s="2" t="s">
        <v>296</v>
      </c>
      <c r="C39" s="2" t="s">
        <v>297</v>
      </c>
      <c r="D39" s="9" t="s">
        <v>298</v>
      </c>
      <c r="E39" s="8" t="s">
        <v>299</v>
      </c>
      <c r="F39" s="2" t="s">
        <v>300</v>
      </c>
      <c r="G39" s="2"/>
      <c r="H39" s="2" t="s">
        <v>301</v>
      </c>
      <c r="I39" s="2" t="s">
        <v>88</v>
      </c>
      <c r="J39" s="2" t="s">
        <v>302</v>
      </c>
      <c r="K39" s="2" t="s">
        <v>303</v>
      </c>
      <c r="L39" s="2" t="s">
        <v>304</v>
      </c>
      <c r="M39" s="2"/>
      <c r="N39" s="2"/>
    </row>
    <row r="40" spans="1:14" ht="18.75" customHeight="1" x14ac:dyDescent="0.25">
      <c r="A40" s="7">
        <v>39</v>
      </c>
      <c r="B40" s="2" t="s">
        <v>305</v>
      </c>
      <c r="C40" s="2" t="s">
        <v>306</v>
      </c>
      <c r="D40" s="8" t="s">
        <v>307</v>
      </c>
      <c r="E40" s="8" t="s">
        <v>308</v>
      </c>
      <c r="F40" s="2" t="s">
        <v>300</v>
      </c>
      <c r="G40" s="2"/>
      <c r="H40" s="2" t="s">
        <v>309</v>
      </c>
      <c r="I40" s="2" t="s">
        <v>105</v>
      </c>
      <c r="J40" s="2"/>
      <c r="K40" s="2"/>
      <c r="L40" s="2"/>
      <c r="M40" s="2"/>
      <c r="N40" s="2" t="s">
        <v>21</v>
      </c>
    </row>
    <row r="41" spans="1:14" ht="18.75" customHeight="1" x14ac:dyDescent="0.25">
      <c r="A41" s="7">
        <v>40</v>
      </c>
      <c r="B41" s="2" t="s">
        <v>310</v>
      </c>
      <c r="C41" s="2" t="s">
        <v>311</v>
      </c>
      <c r="D41" s="9" t="s">
        <v>312</v>
      </c>
      <c r="E41" s="8" t="s">
        <v>313</v>
      </c>
      <c r="F41" s="2" t="s">
        <v>300</v>
      </c>
      <c r="G41" s="2"/>
      <c r="H41" s="2" t="s">
        <v>314</v>
      </c>
      <c r="I41" s="2" t="s">
        <v>78</v>
      </c>
      <c r="J41" s="2" t="s">
        <v>315</v>
      </c>
      <c r="K41" s="2" t="s">
        <v>316</v>
      </c>
      <c r="L41" s="2" t="s">
        <v>317</v>
      </c>
      <c r="M41" s="2" t="s">
        <v>318</v>
      </c>
      <c r="N41" s="2"/>
    </row>
    <row r="42" spans="1:14" ht="18.75" customHeight="1" x14ac:dyDescent="0.25">
      <c r="A42" s="7">
        <v>41</v>
      </c>
      <c r="B42" s="2" t="s">
        <v>319</v>
      </c>
      <c r="C42" s="2" t="s">
        <v>320</v>
      </c>
      <c r="D42" s="8" t="s">
        <v>321</v>
      </c>
      <c r="E42" s="8" t="s">
        <v>322</v>
      </c>
      <c r="F42" s="2" t="s">
        <v>323</v>
      </c>
      <c r="G42" s="2"/>
      <c r="H42" s="2" t="s">
        <v>324</v>
      </c>
      <c r="I42" s="2" t="s">
        <v>88</v>
      </c>
      <c r="J42" s="2" t="s">
        <v>325</v>
      </c>
      <c r="K42" s="2" t="s">
        <v>326</v>
      </c>
      <c r="L42" s="2" t="s">
        <v>327</v>
      </c>
      <c r="M42" s="2"/>
      <c r="N42" s="2"/>
    </row>
    <row r="43" spans="1:14" ht="18.75" customHeight="1" x14ac:dyDescent="0.25">
      <c r="A43" s="7">
        <v>42</v>
      </c>
      <c r="B43" s="2" t="s">
        <v>328</v>
      </c>
      <c r="C43" s="2" t="s">
        <v>329</v>
      </c>
      <c r="D43" s="9" t="s">
        <v>330</v>
      </c>
      <c r="E43" s="8" t="s">
        <v>331</v>
      </c>
      <c r="F43" s="2" t="s">
        <v>323</v>
      </c>
      <c r="G43" s="2"/>
      <c r="H43" s="2" t="s">
        <v>332</v>
      </c>
      <c r="I43" s="2" t="s">
        <v>88</v>
      </c>
      <c r="J43" s="2" t="s">
        <v>333</v>
      </c>
      <c r="K43" s="2" t="s">
        <v>334</v>
      </c>
      <c r="L43" s="2" t="s">
        <v>335</v>
      </c>
      <c r="M43" s="2"/>
      <c r="N43" s="2"/>
    </row>
    <row r="44" spans="1:14" ht="18.75" customHeight="1" x14ac:dyDescent="0.25">
      <c r="A44" s="7">
        <v>43</v>
      </c>
      <c r="B44" s="2" t="s">
        <v>336</v>
      </c>
      <c r="C44" s="2" t="s">
        <v>337</v>
      </c>
      <c r="D44" s="8" t="s">
        <v>338</v>
      </c>
      <c r="E44" s="8" t="s">
        <v>339</v>
      </c>
      <c r="F44" s="2" t="s">
        <v>323</v>
      </c>
      <c r="G44" s="2"/>
      <c r="H44" s="2" t="s">
        <v>340</v>
      </c>
      <c r="I44" s="2" t="s">
        <v>105</v>
      </c>
      <c r="J44" s="2"/>
      <c r="K44" s="2"/>
      <c r="L44" s="2"/>
      <c r="M44" s="2"/>
      <c r="N44" s="2" t="s">
        <v>24</v>
      </c>
    </row>
    <row r="45" spans="1:14" ht="18.75" customHeight="1" x14ac:dyDescent="0.25">
      <c r="A45" s="7">
        <v>44</v>
      </c>
      <c r="B45" s="2" t="s">
        <v>336</v>
      </c>
      <c r="C45" s="2" t="s">
        <v>337</v>
      </c>
      <c r="D45" s="8" t="s">
        <v>338</v>
      </c>
      <c r="E45" s="8" t="s">
        <v>339</v>
      </c>
      <c r="F45" s="2" t="s">
        <v>323</v>
      </c>
      <c r="G45" s="2"/>
      <c r="H45" s="2" t="s">
        <v>341</v>
      </c>
      <c r="I45" s="2" t="s">
        <v>105</v>
      </c>
      <c r="J45" s="2"/>
      <c r="K45" s="2"/>
      <c r="L45" s="2"/>
      <c r="M45" s="2"/>
      <c r="N45" s="2" t="s">
        <v>342</v>
      </c>
    </row>
    <row r="46" spans="1:14" ht="18.75" customHeight="1" x14ac:dyDescent="0.25">
      <c r="A46" s="7">
        <v>45</v>
      </c>
      <c r="B46" s="2" t="s">
        <v>343</v>
      </c>
      <c r="C46" s="2" t="s">
        <v>344</v>
      </c>
      <c r="D46" s="8" t="s">
        <v>345</v>
      </c>
      <c r="E46" s="8" t="s">
        <v>346</v>
      </c>
      <c r="F46" s="2" t="s">
        <v>30</v>
      </c>
      <c r="G46" s="2"/>
      <c r="H46" s="2" t="s">
        <v>347</v>
      </c>
      <c r="I46" s="2" t="s">
        <v>78</v>
      </c>
      <c r="J46" s="2" t="s">
        <v>348</v>
      </c>
      <c r="K46" s="2" t="s">
        <v>349</v>
      </c>
      <c r="L46" s="2" t="s">
        <v>350</v>
      </c>
      <c r="M46" s="2" t="s">
        <v>351</v>
      </c>
      <c r="N46" s="2"/>
    </row>
    <row r="47" spans="1:14" ht="18.75" customHeight="1" x14ac:dyDescent="0.25">
      <c r="A47" s="7">
        <v>46</v>
      </c>
      <c r="B47" s="2" t="s">
        <v>352</v>
      </c>
      <c r="C47" s="2" t="s">
        <v>353</v>
      </c>
      <c r="D47" s="8" t="s">
        <v>354</v>
      </c>
      <c r="E47" s="8" t="s">
        <v>355</v>
      </c>
      <c r="F47" s="2" t="s">
        <v>30</v>
      </c>
      <c r="G47" s="2"/>
      <c r="H47" s="2" t="s">
        <v>356</v>
      </c>
      <c r="I47" s="2" t="s">
        <v>78</v>
      </c>
      <c r="J47" s="2" t="s">
        <v>357</v>
      </c>
      <c r="K47" s="2" t="s">
        <v>358</v>
      </c>
      <c r="L47" s="2" t="s">
        <v>359</v>
      </c>
      <c r="M47" s="2" t="s">
        <v>360</v>
      </c>
      <c r="N47" s="2"/>
    </row>
    <row r="48" spans="1:14" ht="18.75" customHeight="1" x14ac:dyDescent="0.25">
      <c r="A48" s="7">
        <v>47</v>
      </c>
      <c r="B48" s="2" t="s">
        <v>361</v>
      </c>
      <c r="C48" s="2" t="s">
        <v>362</v>
      </c>
      <c r="D48" s="8" t="s">
        <v>363</v>
      </c>
      <c r="E48" s="8" t="s">
        <v>364</v>
      </c>
      <c r="F48" s="2" t="s">
        <v>30</v>
      </c>
      <c r="G48" s="2"/>
      <c r="H48" s="2" t="s">
        <v>365</v>
      </c>
      <c r="I48" s="2" t="s">
        <v>105</v>
      </c>
      <c r="J48" s="2"/>
      <c r="K48" s="2"/>
      <c r="L48" s="2"/>
      <c r="M48" s="2"/>
      <c r="N48" s="2" t="s">
        <v>366</v>
      </c>
    </row>
    <row r="49" spans="1:14" ht="18.75" customHeight="1" x14ac:dyDescent="0.25">
      <c r="A49" s="7">
        <v>48</v>
      </c>
      <c r="B49" s="2" t="s">
        <v>367</v>
      </c>
      <c r="C49" s="2" t="s">
        <v>368</v>
      </c>
      <c r="D49" s="8" t="s">
        <v>369</v>
      </c>
      <c r="E49" s="8" t="s">
        <v>370</v>
      </c>
      <c r="F49" s="2" t="s">
        <v>44</v>
      </c>
      <c r="G49" s="2"/>
      <c r="H49" s="2" t="s">
        <v>371</v>
      </c>
      <c r="I49" s="2" t="s">
        <v>78</v>
      </c>
      <c r="J49" s="2" t="s">
        <v>372</v>
      </c>
      <c r="K49" s="2" t="s">
        <v>373</v>
      </c>
      <c r="L49" s="2" t="s">
        <v>374</v>
      </c>
      <c r="M49" s="2" t="s">
        <v>375</v>
      </c>
      <c r="N49" s="2"/>
    </row>
    <row r="50" spans="1:14" ht="18.75" customHeight="1" x14ac:dyDescent="0.25">
      <c r="A50" s="7">
        <v>49</v>
      </c>
      <c r="B50" s="2" t="s">
        <v>376</v>
      </c>
      <c r="C50" s="2" t="s">
        <v>377</v>
      </c>
      <c r="D50" s="8" t="s">
        <v>378</v>
      </c>
      <c r="E50" s="8" t="s">
        <v>379</v>
      </c>
      <c r="F50" s="2" t="s">
        <v>44</v>
      </c>
      <c r="G50" s="2"/>
      <c r="H50" s="2" t="s">
        <v>380</v>
      </c>
      <c r="I50" s="2" t="s">
        <v>88</v>
      </c>
      <c r="J50" s="2" t="s">
        <v>381</v>
      </c>
      <c r="K50" s="2" t="s">
        <v>382</v>
      </c>
      <c r="L50" s="2" t="s">
        <v>383</v>
      </c>
      <c r="M50" s="2"/>
      <c r="N50" s="2"/>
    </row>
    <row r="51" spans="1:14" ht="18.75" customHeight="1" x14ac:dyDescent="0.25">
      <c r="A51" s="7">
        <v>50</v>
      </c>
      <c r="B51" s="2" t="s">
        <v>384</v>
      </c>
      <c r="C51" s="2" t="s">
        <v>385</v>
      </c>
      <c r="D51" s="8" t="s">
        <v>386</v>
      </c>
      <c r="E51" s="8" t="s">
        <v>387</v>
      </c>
      <c r="F51" s="2" t="s">
        <v>44</v>
      </c>
      <c r="G51" s="2"/>
      <c r="H51" s="2" t="s">
        <v>388</v>
      </c>
      <c r="I51" s="2" t="s">
        <v>105</v>
      </c>
      <c r="J51" s="2"/>
      <c r="K51" s="2"/>
      <c r="L51" s="2"/>
      <c r="M51" s="2"/>
      <c r="N51" s="2" t="s">
        <v>21</v>
      </c>
    </row>
    <row r="52" spans="1:14" ht="18.75" customHeight="1" x14ac:dyDescent="0.25">
      <c r="A52" s="7">
        <v>51</v>
      </c>
      <c r="B52" s="2" t="s">
        <v>389</v>
      </c>
      <c r="C52" s="2" t="s">
        <v>390</v>
      </c>
      <c r="D52" s="8" t="s">
        <v>391</v>
      </c>
      <c r="E52" s="8" t="s">
        <v>392</v>
      </c>
      <c r="F52" s="2" t="s">
        <v>393</v>
      </c>
      <c r="G52" s="2"/>
      <c r="H52" s="2" t="s">
        <v>394</v>
      </c>
      <c r="I52" s="2" t="s">
        <v>60</v>
      </c>
      <c r="J52" s="2" t="s">
        <v>395</v>
      </c>
      <c r="K52" s="2" t="s">
        <v>396</v>
      </c>
      <c r="L52" s="2" t="s">
        <v>397</v>
      </c>
      <c r="M52" s="2" t="s">
        <v>398</v>
      </c>
      <c r="N52" s="2"/>
    </row>
    <row r="53" spans="1:14" ht="18.75" customHeight="1" x14ac:dyDescent="0.25">
      <c r="A53" s="7">
        <v>52</v>
      </c>
      <c r="B53" s="2" t="s">
        <v>389</v>
      </c>
      <c r="C53" s="2" t="s">
        <v>390</v>
      </c>
      <c r="D53" s="8" t="s">
        <v>391</v>
      </c>
      <c r="E53" s="8" t="s">
        <v>392</v>
      </c>
      <c r="F53" s="2" t="s">
        <v>393</v>
      </c>
      <c r="G53" s="2"/>
      <c r="H53" s="2" t="s">
        <v>394</v>
      </c>
      <c r="I53" s="2" t="s">
        <v>78</v>
      </c>
      <c r="J53" s="2" t="s">
        <v>399</v>
      </c>
      <c r="K53" s="2" t="s">
        <v>400</v>
      </c>
      <c r="L53" s="2" t="s">
        <v>397</v>
      </c>
      <c r="M53" s="2" t="s">
        <v>398</v>
      </c>
      <c r="N53" s="2"/>
    </row>
    <row r="54" spans="1:14" ht="18.75" customHeight="1" x14ac:dyDescent="0.25">
      <c r="A54" s="7">
        <v>53</v>
      </c>
      <c r="B54" s="2" t="s">
        <v>401</v>
      </c>
      <c r="C54" s="2" t="s">
        <v>402</v>
      </c>
      <c r="D54" s="8" t="s">
        <v>403</v>
      </c>
      <c r="E54" s="8" t="s">
        <v>404</v>
      </c>
      <c r="F54" s="2" t="s">
        <v>393</v>
      </c>
      <c r="G54" s="2"/>
      <c r="H54" s="2" t="s">
        <v>405</v>
      </c>
      <c r="I54" s="2" t="s">
        <v>78</v>
      </c>
      <c r="J54" s="2" t="s">
        <v>406</v>
      </c>
      <c r="K54" s="2"/>
      <c r="L54" s="2"/>
      <c r="M54" s="2"/>
      <c r="N54" s="2"/>
    </row>
    <row r="55" spans="1:14" ht="18.75" customHeight="1" x14ac:dyDescent="0.25">
      <c r="A55" s="7">
        <v>54</v>
      </c>
      <c r="B55" s="2" t="s">
        <v>407</v>
      </c>
      <c r="C55" s="2" t="s">
        <v>408</v>
      </c>
      <c r="D55" s="9" t="s">
        <v>409</v>
      </c>
      <c r="E55" s="8" t="s">
        <v>410</v>
      </c>
      <c r="F55" s="2" t="s">
        <v>393</v>
      </c>
      <c r="G55" s="2"/>
      <c r="H55" s="2" t="s">
        <v>411</v>
      </c>
      <c r="I55" s="2" t="s">
        <v>88</v>
      </c>
      <c r="J55" s="2" t="s">
        <v>412</v>
      </c>
      <c r="K55" s="2" t="s">
        <v>413</v>
      </c>
      <c r="L55" s="2" t="s">
        <v>414</v>
      </c>
      <c r="M55" s="2"/>
      <c r="N55" s="2"/>
    </row>
    <row r="56" spans="1:14" ht="18.75" customHeight="1" x14ac:dyDescent="0.25">
      <c r="A56" s="7">
        <v>55</v>
      </c>
      <c r="B56" s="2" t="s">
        <v>415</v>
      </c>
      <c r="C56" s="2" t="s">
        <v>416</v>
      </c>
      <c r="D56" s="8" t="s">
        <v>417</v>
      </c>
      <c r="E56" s="8" t="s">
        <v>418</v>
      </c>
      <c r="F56" s="2" t="s">
        <v>393</v>
      </c>
      <c r="G56" s="2"/>
      <c r="H56" s="2" t="s">
        <v>419</v>
      </c>
      <c r="I56" s="2" t="s">
        <v>88</v>
      </c>
      <c r="J56" s="2" t="s">
        <v>420</v>
      </c>
      <c r="K56" s="2" t="s">
        <v>421</v>
      </c>
      <c r="L56" s="2" t="s">
        <v>422</v>
      </c>
      <c r="M56" s="2"/>
      <c r="N56" s="2"/>
    </row>
    <row r="57" spans="1:14" ht="18.75" customHeight="1" x14ac:dyDescent="0.25">
      <c r="A57" s="7">
        <v>56</v>
      </c>
      <c r="B57" s="2" t="s">
        <v>423</v>
      </c>
      <c r="C57" s="2" t="s">
        <v>424</v>
      </c>
      <c r="D57" s="8" t="s">
        <v>425</v>
      </c>
      <c r="E57" s="8" t="s">
        <v>426</v>
      </c>
      <c r="F57" s="2" t="s">
        <v>393</v>
      </c>
      <c r="G57" s="2"/>
      <c r="H57" s="2" t="s">
        <v>427</v>
      </c>
      <c r="I57" s="2" t="s">
        <v>105</v>
      </c>
      <c r="J57" s="2"/>
      <c r="K57" s="2"/>
      <c r="L57" s="2"/>
      <c r="M57" s="2"/>
      <c r="N57" s="2" t="s">
        <v>428</v>
      </c>
    </row>
    <row r="58" spans="1:14" ht="18.75" customHeight="1" x14ac:dyDescent="0.25">
      <c r="A58" s="7">
        <v>57</v>
      </c>
      <c r="B58" s="2" t="s">
        <v>429</v>
      </c>
      <c r="C58" s="2" t="s">
        <v>430</v>
      </c>
      <c r="D58" s="8" t="s">
        <v>431</v>
      </c>
      <c r="E58" s="8" t="s">
        <v>432</v>
      </c>
      <c r="F58" s="2" t="s">
        <v>433</v>
      </c>
      <c r="G58" s="2"/>
      <c r="H58" s="2" t="s">
        <v>434</v>
      </c>
      <c r="I58" s="2" t="s">
        <v>105</v>
      </c>
      <c r="J58" s="2"/>
      <c r="K58" s="2"/>
      <c r="L58" s="2"/>
      <c r="M58" s="2"/>
      <c r="N58" s="2" t="s">
        <v>127</v>
      </c>
    </row>
    <row r="59" spans="1:14" ht="18.75" customHeight="1" x14ac:dyDescent="0.25">
      <c r="A59" s="7">
        <v>58</v>
      </c>
      <c r="B59" s="2" t="s">
        <v>435</v>
      </c>
      <c r="C59" s="2" t="s">
        <v>436</v>
      </c>
      <c r="D59" s="9" t="s">
        <v>437</v>
      </c>
      <c r="E59" s="8" t="s">
        <v>438</v>
      </c>
      <c r="F59" s="2" t="s">
        <v>439</v>
      </c>
      <c r="G59" s="2"/>
      <c r="H59" s="2" t="s">
        <v>440</v>
      </c>
      <c r="I59" s="2" t="s">
        <v>105</v>
      </c>
      <c r="J59" s="2"/>
      <c r="K59" s="2"/>
      <c r="L59" s="2"/>
      <c r="M59" s="2"/>
      <c r="N59" s="2" t="s">
        <v>441</v>
      </c>
    </row>
    <row r="60" spans="1:14" ht="18.75" customHeight="1" x14ac:dyDescent="0.25">
      <c r="A60" s="7">
        <v>59</v>
      </c>
      <c r="B60" s="2"/>
      <c r="C60" s="2"/>
      <c r="D60" s="8"/>
      <c r="E60" s="8"/>
      <c r="F60" s="2" t="s">
        <v>253</v>
      </c>
      <c r="G60" s="2"/>
      <c r="H60" s="2" t="s">
        <v>442</v>
      </c>
      <c r="I60" s="2" t="s">
        <v>443</v>
      </c>
      <c r="J60" s="2"/>
      <c r="K60" s="2"/>
      <c r="L60" s="2"/>
      <c r="M60" s="2"/>
      <c r="N60" s="2"/>
    </row>
    <row r="61" spans="1:14" ht="18.75" customHeight="1" x14ac:dyDescent="0.25">
      <c r="A61" s="7">
        <v>60</v>
      </c>
      <c r="B61" s="2"/>
      <c r="C61" s="2"/>
      <c r="D61" s="8"/>
      <c r="E61" s="8"/>
      <c r="F61" s="2" t="s">
        <v>393</v>
      </c>
      <c r="G61" s="2"/>
      <c r="H61" s="2" t="s">
        <v>444</v>
      </c>
      <c r="I61" s="2" t="s">
        <v>445</v>
      </c>
      <c r="J61" s="2"/>
      <c r="K61" s="2"/>
      <c r="L61" s="2"/>
      <c r="M61" s="2"/>
      <c r="N61" s="2"/>
    </row>
    <row r="62" spans="1:14" ht="18.75" customHeight="1" x14ac:dyDescent="0.25">
      <c r="A62" s="7">
        <v>61</v>
      </c>
      <c r="B62" s="2"/>
      <c r="C62" s="2"/>
      <c r="D62" s="8"/>
      <c r="E62" s="8"/>
      <c r="F62" s="2" t="s">
        <v>30</v>
      </c>
      <c r="G62" s="2"/>
      <c r="H62" s="2" t="s">
        <v>446</v>
      </c>
      <c r="I62" s="2" t="s">
        <v>443</v>
      </c>
      <c r="J62" s="2"/>
      <c r="K62" s="2"/>
      <c r="L62" s="2"/>
      <c r="M62" s="2"/>
      <c r="N62" s="2"/>
    </row>
    <row r="63" spans="1:14" ht="18.75" customHeight="1" x14ac:dyDescent="0.25">
      <c r="A63" s="7">
        <v>62</v>
      </c>
      <c r="B63" s="2"/>
      <c r="C63" s="2"/>
      <c r="D63" s="8"/>
      <c r="E63" s="8"/>
      <c r="F63" s="2" t="s">
        <v>30</v>
      </c>
      <c r="G63" s="2"/>
      <c r="H63" s="2" t="s">
        <v>447</v>
      </c>
      <c r="I63" s="2" t="s">
        <v>443</v>
      </c>
      <c r="J63" s="2"/>
      <c r="K63" s="2"/>
      <c r="L63" s="2"/>
      <c r="M63" s="2"/>
      <c r="N63" s="2"/>
    </row>
    <row r="64" spans="1:14" ht="18.75" customHeight="1" x14ac:dyDescent="0.25">
      <c r="A64" s="7">
        <v>63</v>
      </c>
      <c r="B64" s="2"/>
      <c r="C64" s="2"/>
      <c r="D64" s="8"/>
      <c r="E64" s="8"/>
      <c r="F64" s="2" t="s">
        <v>323</v>
      </c>
      <c r="G64" s="2"/>
      <c r="H64" s="2" t="s">
        <v>448</v>
      </c>
      <c r="I64" s="2" t="s">
        <v>443</v>
      </c>
      <c r="J64" s="2"/>
      <c r="K64" s="2"/>
      <c r="L64" s="2"/>
      <c r="M64" s="2"/>
      <c r="N64" s="2"/>
    </row>
  </sheetData>
  <autoFilter ref="A1:O1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B1:J14"/>
  <sheetViews>
    <sheetView workbookViewId="0">
      <selection activeCell="Q4" sqref="Q4"/>
    </sheetView>
  </sheetViews>
  <sheetFormatPr baseColWidth="10" defaultColWidth="9.140625" defaultRowHeight="15" x14ac:dyDescent="0.25"/>
  <cols>
    <col min="1" max="5" width="13.5703125" bestFit="1" customWidth="1"/>
    <col min="6" max="10" width="13.5703125" style="3" bestFit="1" customWidth="1"/>
  </cols>
  <sheetData>
    <row r="1" spans="2:10" ht="18.7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2:10" ht="18.75" customHeight="1" x14ac:dyDescent="0.25">
      <c r="F2" s="2" t="s">
        <v>9</v>
      </c>
      <c r="G2" s="2" t="s">
        <v>10</v>
      </c>
      <c r="H2" s="2" t="s">
        <v>11</v>
      </c>
      <c r="I2" s="2"/>
      <c r="J2" s="2"/>
    </row>
    <row r="3" spans="2:10" ht="18.75" customHeight="1" x14ac:dyDescent="0.25">
      <c r="F3" s="2" t="s">
        <v>12</v>
      </c>
      <c r="G3" s="2" t="s">
        <v>13</v>
      </c>
      <c r="H3" s="2" t="s">
        <v>14</v>
      </c>
      <c r="I3" s="2"/>
      <c r="J3" s="2" t="s">
        <v>15</v>
      </c>
    </row>
    <row r="4" spans="2:10" ht="18.75" customHeight="1" x14ac:dyDescent="0.25">
      <c r="F4" s="2" t="s">
        <v>16</v>
      </c>
      <c r="G4" s="2" t="s">
        <v>17</v>
      </c>
      <c r="H4" s="2" t="s">
        <v>14</v>
      </c>
      <c r="I4" s="2"/>
      <c r="J4" s="2" t="s">
        <v>18</v>
      </c>
    </row>
    <row r="5" spans="2:10" ht="18.75" customHeight="1" x14ac:dyDescent="0.25">
      <c r="F5" s="2" t="s">
        <v>19</v>
      </c>
      <c r="G5" s="2" t="s">
        <v>20</v>
      </c>
      <c r="H5" s="2" t="s">
        <v>14</v>
      </c>
      <c r="I5" s="2"/>
      <c r="J5" s="2" t="s">
        <v>21</v>
      </c>
    </row>
    <row r="6" spans="2:10" ht="18.75" customHeight="1" x14ac:dyDescent="0.25">
      <c r="F6" s="2" t="s">
        <v>22</v>
      </c>
      <c r="G6" s="2" t="s">
        <v>23</v>
      </c>
      <c r="H6" s="2" t="s">
        <v>14</v>
      </c>
      <c r="I6" s="2"/>
      <c r="J6" s="2" t="s">
        <v>24</v>
      </c>
    </row>
    <row r="7" spans="2:10" ht="18.75" customHeight="1" x14ac:dyDescent="0.25">
      <c r="F7" s="2" t="s">
        <v>25</v>
      </c>
      <c r="G7" s="2" t="s">
        <v>26</v>
      </c>
      <c r="H7" s="2" t="s">
        <v>14</v>
      </c>
      <c r="I7" s="2"/>
      <c r="J7" s="2" t="s">
        <v>27</v>
      </c>
    </row>
    <row r="8" spans="2:10" ht="18.75" customHeight="1" x14ac:dyDescent="0.25">
      <c r="F8" s="2" t="s">
        <v>28</v>
      </c>
      <c r="G8" s="2" t="s">
        <v>29</v>
      </c>
      <c r="H8" s="2" t="s">
        <v>14</v>
      </c>
      <c r="I8" s="2"/>
      <c r="J8" s="2" t="s">
        <v>27</v>
      </c>
    </row>
    <row r="9" spans="2:10" ht="18.75" customHeight="1" x14ac:dyDescent="0.25">
      <c r="F9" s="2" t="s">
        <v>30</v>
      </c>
      <c r="G9" s="2" t="s">
        <v>31</v>
      </c>
      <c r="H9" s="2" t="s">
        <v>14</v>
      </c>
      <c r="I9" s="2"/>
      <c r="J9" s="2" t="s">
        <v>27</v>
      </c>
    </row>
    <row r="10" spans="2:10" ht="18.75" customHeight="1" x14ac:dyDescent="0.25">
      <c r="F10" s="2" t="s">
        <v>32</v>
      </c>
      <c r="G10" s="2" t="s">
        <v>33</v>
      </c>
      <c r="H10" s="2" t="s">
        <v>14</v>
      </c>
      <c r="I10" s="2"/>
      <c r="J10" s="2" t="s">
        <v>34</v>
      </c>
    </row>
    <row r="11" spans="2:10" ht="18.75" customHeight="1" x14ac:dyDescent="0.25">
      <c r="F11" s="2" t="s">
        <v>35</v>
      </c>
      <c r="G11" s="2" t="s">
        <v>36</v>
      </c>
      <c r="H11" s="2" t="s">
        <v>14</v>
      </c>
      <c r="I11" s="2"/>
      <c r="J11" s="2" t="s">
        <v>37</v>
      </c>
    </row>
    <row r="12" spans="2:10" ht="18.75" customHeight="1" x14ac:dyDescent="0.25">
      <c r="F12" s="2" t="s">
        <v>38</v>
      </c>
      <c r="G12" s="2" t="s">
        <v>39</v>
      </c>
      <c r="H12" s="2" t="s">
        <v>14</v>
      </c>
      <c r="I12" s="2"/>
      <c r="J12" s="2" t="s">
        <v>40</v>
      </c>
    </row>
    <row r="13" spans="2:10" ht="18.75" customHeight="1" x14ac:dyDescent="0.25">
      <c r="F13" s="2" t="s">
        <v>41</v>
      </c>
      <c r="G13" s="2" t="s">
        <v>42</v>
      </c>
      <c r="H13" s="2" t="s">
        <v>14</v>
      </c>
      <c r="I13" s="2"/>
      <c r="J13" s="2" t="s">
        <v>43</v>
      </c>
    </row>
    <row r="14" spans="2:10" ht="18.75" customHeight="1" x14ac:dyDescent="0.25">
      <c r="F14" s="2" t="s">
        <v>44</v>
      </c>
      <c r="G14" s="2" t="s">
        <v>45</v>
      </c>
      <c r="H14" s="2" t="s">
        <v>14</v>
      </c>
      <c r="I14" s="2"/>
      <c r="J14" s="2" t="s">
        <v>27</v>
      </c>
    </row>
  </sheetData>
  <autoFilter ref="B1:J1" xr:uid="{00000000-0001-0000-04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Ekoizleak</vt:lpstr>
      <vt:lpstr>Salmenta puntuak</vt:lpstr>
      <vt:lpstr>Azokak</vt:lpstr>
      <vt:lpstr>Zerbitzuak</vt:lpstr>
      <vt:lpstr>Kirol frogak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Goimen Elkartea</cp:lastModifiedBy>
  <dcterms:created xsi:type="dcterms:W3CDTF">2026-07-03T07:46:28Z</dcterms:created>
  <dcterms:modified xsi:type="dcterms:W3CDTF">2026-07-28T08:10:57Z</dcterms:modified>
</cp:coreProperties>
</file>